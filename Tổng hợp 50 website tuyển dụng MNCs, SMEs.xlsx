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/>
  <xr:revisionPtr revIDLastSave="0" documentId="8_{11CE7F03-E570-41FC-AA55-895FBB45033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Job list tháng 12 25" sheetId="6" r:id="rId1"/>
    <sheet name="Top trang web tuyển dụng" sheetId="5" r:id="rId2"/>
    <sheet name="Tổng hợp 100 JD" sheetId="1" r:id="rId3"/>
    <sheet name="Trang_tính1" sheetId="4" r:id="rId4"/>
    <sheet name="Nhóm chứng chỉ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3" i="1"/>
</calcChain>
</file>

<file path=xl/sharedStrings.xml><?xml version="1.0" encoding="utf-8"?>
<sst xmlns="http://schemas.openxmlformats.org/spreadsheetml/2006/main" count="1497" uniqueCount="657">
  <si>
    <t>50 Job đang tuyển: Data Analyst, Business Analyst và Data Engineer ở Việt Nam</t>
  </si>
  <si>
    <t>STT</t>
  </si>
  <si>
    <t>Company</t>
  </si>
  <si>
    <t>Job Title</t>
  </si>
  <si>
    <t>Role Type</t>
  </si>
  <si>
    <t>Level</t>
  </si>
  <si>
    <t>Employment Type</t>
  </si>
  <si>
    <t>Location</t>
  </si>
  <si>
    <t>Company Type</t>
  </si>
  <si>
    <t>Industry</t>
  </si>
  <si>
    <t>Job Link</t>
  </si>
  <si>
    <t>Shopee</t>
  </si>
  <si>
    <t>Business Analyst</t>
  </si>
  <si>
    <t>Entry level; Experienced; Manager</t>
  </si>
  <si>
    <t>Full-time</t>
  </si>
  <si>
    <t>HCM</t>
  </si>
  <si>
    <t>Multinational</t>
  </si>
  <si>
    <t>E-commerce</t>
  </si>
  <si>
    <t>https://careers.shopee.vn/jobs?dept_id=3</t>
  </si>
  <si>
    <t>Data Analyst</t>
  </si>
  <si>
    <t>Procter &amp; Gamble</t>
  </si>
  <si>
    <t>E-commerce Growth Analysis Manager</t>
  </si>
  <si>
    <t>Entry level</t>
  </si>
  <si>
    <t>FMCG</t>
  </si>
  <si>
    <t>https://www.pgcareers.com/sg/en/job/R000142944/E-commerce-Growth-Analysis-Manager</t>
  </si>
  <si>
    <t>P&amp;G LEAD GEN HR Analytics Intern</t>
  </si>
  <si>
    <t>Internship</t>
  </si>
  <si>
    <t>https://www.pgcareers.com/sg/en/job/R000140225/P-G-LEAD-GEN-HR-Analytics-Intern</t>
  </si>
  <si>
    <t>Bosch Vietnam</t>
  </si>
  <si>
    <t>[Bosch R&amp;D - Internship] Data Engineer Intern</t>
  </si>
  <si>
    <t>Data Engineer</t>
  </si>
  <si>
    <t>Manufacturing / Tech</t>
  </si>
  <si>
    <t>https://jobs.smartrecruiters.com/BoschGroup/744000088990395--bosch-r-d-internship-data-engineer-intern?trid=0637ed77-6797-4422-8726-17bb7307ecd0</t>
  </si>
  <si>
    <t>[Internship] Data Analyst Intern (Supply Chain domain)</t>
  </si>
  <si>
    <t>https://jobs.smartrecruiters.com/BoschGroup/744000099493765--internship-data-analyst-intern-supply-chain-domain-?trid=0637ed77-6797-4422-8726-17bb7307ecd0</t>
  </si>
  <si>
    <t>[BD] Senior AI Engineer/ Data Scientist</t>
  </si>
  <si>
    <t>Data Scientist</t>
  </si>
  <si>
    <t>Experienced</t>
  </si>
  <si>
    <t>HN</t>
  </si>
  <si>
    <t>https://jobs.smartrecruiters.com/BoschGroup/744000095558801--bd-senior-ai-engineer-data-scientist?trid=0637ed77-6797-4422-8726-17bb7307ecd0</t>
  </si>
  <si>
    <t>PwC Vietnam</t>
  </si>
  <si>
    <t>Experienced Associate, Software QA Analyst</t>
  </si>
  <si>
    <t>Associate</t>
  </si>
  <si>
    <t>Consulting</t>
  </si>
  <si>
    <t>https://www.pwc.com/vn/en/careers/campus-careers.html</t>
  </si>
  <si>
    <t>Techcombank</t>
  </si>
  <si>
    <t>Experienced; Manager; Director</t>
  </si>
  <si>
    <t>Banking</t>
  </si>
  <si>
    <t>https://www.techcombankjobs.com/search/?createNewAlert=false&amp;q=data&amp;locationsearch=&amp;optionsFacetsDD_customfield1=&amp;optionsFacetsDD_department=&amp;optionsFacetsDD_shifttype=&amp;optionsFacetsDD_facility=</t>
  </si>
  <si>
    <t>MB Bank</t>
  </si>
  <si>
    <t>Data Engineer - Phòng Giải pháp quản trị nội bộ - Trung tâm Công nghệ nền tảng - Khối Công nghệ thông tin</t>
  </si>
  <si>
    <t>Specialist</t>
  </si>
  <si>
    <t>https://careers.mbbank.com.vn/list-of-posts/detail-list-of-posts?id=68a44602e6f0214b0810615d&amp;workGroupId=11267</t>
  </si>
  <si>
    <t>Payoo</t>
  </si>
  <si>
    <t>Fintech</t>
  </si>
  <si>
    <t>https://payoo.vn/tuyen-dung/business-analyst.html</t>
  </si>
  <si>
    <t>Trusting Social</t>
  </si>
  <si>
    <t>Senior Data Analyst</t>
  </si>
  <si>
    <t>Fintech / AI</t>
  </si>
  <si>
    <t>https://trustingsocial.com/careers/openings/senior-data-analyst-682739</t>
  </si>
  <si>
    <t>GeoComply</t>
  </si>
  <si>
    <t>SaaS / Tech</t>
  </si>
  <si>
    <t>https://www.geocomply.com/careers/all-jobs/ho-chi-minh-data-engineer/</t>
  </si>
  <si>
    <t>VPBank</t>
  </si>
  <si>
    <t>Data Scientist Expert/ CG Khoa học dữ liệu - Hà Nội - TA174</t>
  </si>
  <si>
    <t>Hà Nội</t>
  </si>
  <si>
    <t>Bank</t>
  </si>
  <si>
    <t>https://tuyendung.vpbank.com.vn/jobs/data-analyst</t>
  </si>
  <si>
    <t>NashTech</t>
  </si>
  <si>
    <t>Data Scientist Lead</t>
  </si>
  <si>
    <t>Manager</t>
  </si>
  <si>
    <t>IT Outsource</t>
  </si>
  <si>
    <t>https://careers.nashtechglobal.com/job/data-scientist-lead/</t>
  </si>
  <si>
    <t>Axon Active</t>
  </si>
  <si>
    <t>IT Services</t>
  </si>
  <si>
    <t>https://www.careers.axonactive.com/post/data-engineer</t>
  </si>
  <si>
    <t>Pizza 4P’s</t>
  </si>
  <si>
    <t>SME</t>
  </si>
  <si>
    <t>F&amp;B</t>
  </si>
  <si>
    <t>[HCM] Data Analyst| Job Detail | Career | Pizza 4P's | Pizza 4P's</t>
  </si>
  <si>
    <t>Tiktok</t>
  </si>
  <si>
    <t>Business Data Analyst Project Intern (GBS)</t>
  </si>
  <si>
    <t>Communication</t>
  </si>
  <si>
    <t>https://lifeattiktok.com/search/7574313690909280565</t>
  </si>
  <si>
    <t>VNG Games</t>
  </si>
  <si>
    <t>Data Analyst, VNGGames</t>
  </si>
  <si>
    <t>https://career.vng.com.vn/tim-kiem-viec-lam/chi-tiet/6384-data-analyst-vnggames-vi</t>
  </si>
  <si>
    <t>https://career.vng.com.vn/tim-kiem-viec-lam/chi-tiet/6380-data-engineer-vi</t>
  </si>
  <si>
    <t>Senior Data Analyst, VNGGames</t>
  </si>
  <si>
    <t>Senior</t>
  </si>
  <si>
    <t>https://career.vng.com.vn/tim-kiem-viec-lam/chi-tiet/6341-senior-data-analyst-vnggames-vi</t>
  </si>
  <si>
    <t>Associate Data Engineering Manager, VNGGames</t>
  </si>
  <si>
    <t>https://career.vng.com.vn/tim-kiem-viec-lam/chi-tiet/6096-associate-data-engineering-manager-vi</t>
  </si>
  <si>
    <t>Zalo</t>
  </si>
  <si>
    <t>Lead/ Senior Data Analyst, Zalo</t>
  </si>
  <si>
    <t>Manager; Senior</t>
  </si>
  <si>
    <t>https://zalo.careers/job/lead-senior-data-analyst-zalo-n-j9oZ6wpukJGgL2yV</t>
  </si>
  <si>
    <t>Senior Data Engineer, Data Platform, Zalo</t>
  </si>
  <si>
    <t>https://zalo.careers/job/senior-data-engineer-data-platform-zalo-n-oIeJItWqBJo3BWzF</t>
  </si>
  <si>
    <t>(Senior) Lead Data Engineer, Zalo</t>
  </si>
  <si>
    <t>https://zalo.careers/job/senior-lead-data-engineer-zalo-n-2VerDcX5t3nJZzyw</t>
  </si>
  <si>
    <t>Data Privacy Engineering, Zalo</t>
  </si>
  <si>
    <t>https://zalo.careers/job/data-privacy-engineering-zalo-n-hlauL242BW--p2vf</t>
  </si>
  <si>
    <t>Standard Chartered</t>
  </si>
  <si>
    <t>Senior Analyst, Retail Analytics</t>
  </si>
  <si>
    <t>https://jobs.standardchartered.com/job/Senior-Analyst%2C-Retail-Analytics/44650-en_GB?&amp;feedid=363857</t>
  </si>
  <si>
    <t>Product Data Analyst</t>
  </si>
  <si>
    <t>https://trustingsocial.com/careers/openings/product-data-analyst-682669</t>
  </si>
  <si>
    <t>Financial Data Analyst</t>
  </si>
  <si>
    <t>https://trustingsocial.com/careers/openings/financial-data-analyst-681630</t>
  </si>
  <si>
    <t>Senior Data Analyst (PowerBI)</t>
  </si>
  <si>
    <t>https://www.geocomply.com/careers/all-jobs/ho-chi-minh-senior-data-analyst-powerbi/</t>
  </si>
  <si>
    <t>Senior Data Analyst, Anti-spoofing Operation</t>
  </si>
  <si>
    <t>https://www.geocomply.com/careers/all-jobs/ho-chi-minh-senior-data-analyst-antispoofing-operation/</t>
  </si>
  <si>
    <t>[SO] Senior Data Analyst</t>
  </si>
  <si>
    <t>https://jobs.smartrecruiters.com/BoschGroup/744000089387945--so-senior-data-analyst?trid=0637ed77-6797-4422-8726-17bb7307ecd0</t>
  </si>
  <si>
    <t>[CTG] Financial Data Analyst Intern</t>
  </si>
  <si>
    <t>https://jobs.smartrecruiters.com/BoschGroup/744000099470655--ctg-financial-data-analyst-intern?trid=0637ed77-6797-4422-8726-17bb7307ecd0</t>
  </si>
  <si>
    <t>Be Group</t>
  </si>
  <si>
    <t>(Senior) Business Analyst</t>
  </si>
  <si>
    <t>https://be.com.vn/be_recruitment/senior-business-analyst/</t>
  </si>
  <si>
    <t>Momo</t>
  </si>
  <si>
    <t>Senior/Lead - Data Engineering</t>
  </si>
  <si>
    <t>https://momo.careers/jobs/senior-lead-data-engineering-14230</t>
  </si>
  <si>
    <t>(Senior) Team Leader - Data Analysis</t>
  </si>
  <si>
    <t>https://momo.careers/jobs/senior-lead-data-analytics-13969</t>
  </si>
  <si>
    <t>Senior - Data Analyst, Financial Services</t>
  </si>
  <si>
    <t>https://momo.careers/jobs/senior-data-analyst-financial-services-13970</t>
  </si>
  <si>
    <t>Decathlon</t>
  </si>
  <si>
    <t>HCMC - Data Engineer</t>
  </si>
  <si>
    <t>https://careersdecathlonvn.com/en/recruitments/690c7fee9cad8852eadacbde?type_child=type3</t>
  </si>
  <si>
    <t>TPBank</t>
  </si>
  <si>
    <t>Data Analyst &amp; Data Scientist</t>
  </si>
  <si>
    <t>https://tuyendung.tpb.vn/vi/jobs/data-analyst--data-scientist-PA8cQhneYMDc9</t>
  </si>
  <si>
    <t>Woodsland</t>
  </si>
  <si>
    <t>Data Analyst - E-commerce</t>
  </si>
  <si>
    <t>Manufacturing</t>
  </si>
  <si>
    <t>https://vn.joboko.com/viec-lam-data-analyst-e-commerce-xvi6102461?utm_campaign=google_jobs_apply&amp;utm_source=google_jobs_apply&amp;utm_medium=organic</t>
  </si>
  <si>
    <t>Richy Group</t>
  </si>
  <si>
    <t>Chuyên Viên Phân Tích Dữ Liệu Kinh Doanh (Data Analyst) - Yêu Cầu Có Kinh Nghiệm Ngành FMCG</t>
  </si>
  <si>
    <t>https://www.topcv.vn/viec-lam/chuyen-vien-phan-tich-du-lieu-kinh-doanh-data-analyst-yeu-cau-co-kinh-nghiem-nganh-fmcg/1878777.html?utm_campaign=google_jobs_apply&amp;utm_source=google_jobs_apply&amp;utm_medium=organic</t>
  </si>
  <si>
    <t>VNPay</t>
  </si>
  <si>
    <t>[HCM] Data Scientist</t>
  </si>
  <si>
    <t>https://tuyendung.vnpay.vn/tuyen-dung/data-scientist.html</t>
  </si>
  <si>
    <t>Crossian</t>
  </si>
  <si>
    <t>Senior Data Analyst, Data &amp; AI Team, Global eCommerce Platform. Total Annual Compensation upto $80,000 (Negotiate)</t>
  </si>
  <si>
    <t>HN, HCM</t>
  </si>
  <si>
    <t>https://crossian.com/careers/37867/Senior-Data-Analyst-Data-AI-Team-Global-eCommerce-Platform-Total-Annual-Compensation-upto-80000-Negotiate</t>
  </si>
  <si>
    <t>Open Commerce</t>
  </si>
  <si>
    <t>https://jobs.opencommercegroup.com/jobs/data-analyst-1/</t>
  </si>
  <si>
    <t>Viettel Post</t>
  </si>
  <si>
    <t>Logistics</t>
  </si>
  <si>
    <t>https://viettelpost.com.vn/tuyen_dung/data-analyst/</t>
  </si>
  <si>
    <t>https://viettelpost.com.vn/tuyen_dung/business-analyst-2/</t>
  </si>
  <si>
    <t>Hitachi Digital Services</t>
  </si>
  <si>
    <t>https://www.hitachids.com/vn-english/careers/job-details/?jid=8051864002&amp;gh_jid=8051864002</t>
  </si>
  <si>
    <t>MCredit</t>
  </si>
  <si>
    <t>Data Engineer SQL, AWS, Oracle</t>
  </si>
  <si>
    <t>https://vn.joboko.com/viec-lam-data-engineer-sql-aws-oracle-xvi6221432?utm_campaign=google_jobs_apply&amp;utm_source=google_jobs_apply&amp;utm_medium=organic</t>
  </si>
  <si>
    <t>DNSE</t>
  </si>
  <si>
    <t>Data Engineer (SQL/NoSQL, AWS) - CRM</t>
  </si>
  <si>
    <t xml:space="preserve">Securities </t>
  </si>
  <si>
    <t>https://talent.dnse.com.vn/co-hoi-viec-lam/data-engineer-crm</t>
  </si>
  <si>
    <t>Business Analyst - CRM</t>
  </si>
  <si>
    <t>https://talent.dnse.com.vn/co-hoi-viec-lam/business-analyst-crm-2025</t>
  </si>
  <si>
    <t>Kênh tuyển dụng</t>
  </si>
  <si>
    <t>Website tuyển dụng của doanh nghiệp</t>
  </si>
  <si>
    <t>VietnamWorks</t>
  </si>
  <si>
    <t>https://www.vietnamworks.com</t>
  </si>
  <si>
    <t>TopCV</t>
  </si>
  <si>
    <t>https://www.topcv.vn</t>
  </si>
  <si>
    <t>CareerViet (CareerBuilder)</t>
  </si>
  <si>
    <t>https://careerviet.vn/</t>
  </si>
  <si>
    <t>ITviec</t>
  </si>
  <si>
    <t>https://itviec.com</t>
  </si>
  <si>
    <t>TopDev</t>
  </si>
  <si>
    <t>https://topdev.vn</t>
  </si>
  <si>
    <t>MyWork</t>
  </si>
  <si>
    <t>https://mywork.com.vn</t>
  </si>
  <si>
    <t>Việc Làm 24h</t>
  </si>
  <si>
    <t>https://vieclam24h.vn</t>
  </si>
  <si>
    <t>CareerLink</t>
  </si>
  <si>
    <t>https://www.careerlink.vn</t>
  </si>
  <si>
    <t>JobStreet VN</t>
  </si>
  <si>
    <t>https://www.jobstreet.vn</t>
  </si>
  <si>
    <t>JobsGO</t>
  </si>
  <si>
    <t>https://jobsgo.vn</t>
  </si>
  <si>
    <t>YBOX</t>
  </si>
  <si>
    <t>https://ybox.vn</t>
  </si>
  <si>
    <t>NhanlucIT</t>
  </si>
  <si>
    <t>https://nhanlucit.com</t>
  </si>
  <si>
    <t>Indeed (Vietnam)</t>
  </si>
  <si>
    <t>https://vn.indeed.com</t>
  </si>
  <si>
    <t>Glints Vietnam</t>
  </si>
  <si>
    <t>https://glints.com/vn</t>
  </si>
  <si>
    <t>LinkedIn Jobs</t>
  </si>
  <si>
    <t>https://www.linkedin.com/jobs</t>
  </si>
  <si>
    <t>Upwork</t>
  </si>
  <si>
    <t>https://www.upwork.com</t>
  </si>
  <si>
    <t>Datapot Analytics Group</t>
  </si>
  <si>
    <t>https://datapot.vn/category/tin-tuc/tuyen-dung/</t>
  </si>
  <si>
    <t>Unilever Vietnam</t>
  </si>
  <si>
    <t>https://careers.unilever.com/en/search-jobs/Vietnam/34155/2/1562822/16x16667/107x83333/100/2</t>
  </si>
  <si>
    <t>P&amp;G Vietnam</t>
  </si>
  <si>
    <t>https://www.pgcareers.com/sg/en/search-results?keywords=&amp;p=ChIJXx5qc016FTERvmL-4smwO7A&amp;location=Vietnam</t>
  </si>
  <si>
    <t>Nestlé Vietnam</t>
  </si>
  <si>
    <t>https://www.nestle.com/jobs/search-jobs?keyword=&amp;country=VN</t>
  </si>
  <si>
    <t>Google</t>
  </si>
  <si>
    <t>https://www.google.com/about/careers/applications/jobs/results/?q=&amp;location=Vietnam&amp;hl=en-US</t>
  </si>
  <si>
    <t>IBM Vietnam</t>
  </si>
  <si>
    <t>https://www.ibm.com/careers/search?field_keyword_05[0]=Vietnam</t>
  </si>
  <si>
    <t>Deloitte Vietnam</t>
  </si>
  <si>
    <t>https://jobs.sea.deloitte.com/search/?createNewAlert=false&amp;q=&amp;locationsearch=VN&amp;optionsFacetsDD_country=&amp;optionsFacetsDD_customfield2=&amp;optionsFacetsDD_dept=</t>
  </si>
  <si>
    <t>https://www.pwc.com/vn/vn/careers.html</t>
  </si>
  <si>
    <t>EY Vietnam</t>
  </si>
  <si>
    <t>https://www.ey.com/en_gl/careers</t>
  </si>
  <si>
    <t>KPMG Vietnam</t>
  </si>
  <si>
    <t>https://kpmg.com/vn/en/home/careers.html</t>
  </si>
  <si>
    <t>https://www.techcombankjobs.com/search/?createNewAlert=false&amp;q=&amp;locationsearch=&amp;optionsFacetsDD_customfield1=&amp;optionsFacetsDD_department=&amp;optionsFacetsDD_shifttype=&amp;optionsFacetsDD_facility=</t>
  </si>
  <si>
    <t>BIDV</t>
  </si>
  <si>
    <t>https://tuyendung.bidv.com.vn/</t>
  </si>
  <si>
    <t>Vietcombank</t>
  </si>
  <si>
    <t>https://tuyendung.vietcombank.com.vn/</t>
  </si>
  <si>
    <t>Vietinbank</t>
  </si>
  <si>
    <t>https://tuyendung.vietinbank.vn/tuyendung/trang-chu</t>
  </si>
  <si>
    <t>Standard Chartered Vietnam</t>
  </si>
  <si>
    <t>Global career opportunities | Standard Chartered</t>
  </si>
  <si>
    <t>https://careers.smartrecruiters.com/BoschGroup/vietnam</t>
  </si>
  <si>
    <t>Siemens Vietnam</t>
  </si>
  <si>
    <t>https://jobs.siemens.com/en_US/externaljobs/SearchJobs/?42414=%5B812066%5D&amp;42414_format=17570&amp;listFilterMode=1&amp;folderRecordsPerPage=6&amp;</t>
  </si>
  <si>
    <t>DHL Group</t>
  </si>
  <si>
    <t>https://careers.dhl.com/apac/en/search-results?keywords=&amp;p=ChIJXx5qc016FTERvmL-4smwO7A&amp;location=Vietnam</t>
  </si>
  <si>
    <t>Maersk Vietnam</t>
  </si>
  <si>
    <t>https://www.maersk.com/careers/vacancies?searchText=&amp;city=Vietnam</t>
  </si>
  <si>
    <t>https://career.vng.com.vn/</t>
  </si>
  <si>
    <t>Tuyển dụng Công ty CP Giải pháp Thanh toán Việt Nam | VNPAY</t>
  </si>
  <si>
    <t>https://momo.careers/jobs</t>
  </si>
  <si>
    <t>Tiktok Vietnam</t>
  </si>
  <si>
    <t>We Are TikTok</t>
  </si>
  <si>
    <t>NashTech Vietnam</t>
  </si>
  <si>
    <t>https://careers.nashtechglobal.com/</t>
  </si>
  <si>
    <t>Axon Active Vietnam</t>
  </si>
  <si>
    <t>https://www.careers.axonactive.com/</t>
  </si>
  <si>
    <t>KMS Technology</t>
  </si>
  <si>
    <t>Jobs at KMS Technology - KMS Technology Careers</t>
  </si>
  <si>
    <t>Orient Software</t>
  </si>
  <si>
    <t>Open Positions</t>
  </si>
  <si>
    <t>Kyanon Digital</t>
  </si>
  <si>
    <t>https://kyanon.digital/careers/job-listing/</t>
  </si>
  <si>
    <t>https://trustingsocial.com/careers/</t>
  </si>
  <si>
    <t>Ahamove</t>
  </si>
  <si>
    <t>https://ahamove.com/job?page=1</t>
  </si>
  <si>
    <t>Golden Owl Consulting</t>
  </si>
  <si>
    <t>https://goldenowl.asia/careers</t>
  </si>
  <si>
    <t>Relia Software</t>
  </si>
  <si>
    <t>https://reliasoftware.com/careers</t>
  </si>
  <si>
    <t>Sotatek</t>
  </si>
  <si>
    <t>https://www.sotatek.com/careers/</t>
  </si>
  <si>
    <t>Giao hàng tiết kiệm (GHTK)</t>
  </si>
  <si>
    <t>https://ghtk.vn/tuyen-dung/tim-kiem/</t>
  </si>
  <si>
    <t>Nhóm nghiệp vụ và chứng chỉ</t>
  </si>
  <si>
    <t>Tên Công Việc</t>
  </si>
  <si>
    <t>Nhóm Ngành</t>
  </si>
  <si>
    <t>Chứng Chỉ Đề Cập</t>
  </si>
  <si>
    <t>Link JD</t>
  </si>
  <si>
    <t>Loại</t>
  </si>
  <si>
    <t>Phạm vi tuyển dụng</t>
  </si>
  <si>
    <t>Tình trạng tuyển dụng</t>
  </si>
  <si>
    <t>Note</t>
  </si>
  <si>
    <t>- Data/BI (PL-300) 
- Cloud/Azure (AZ-900, AZ-104) 
- Microsoft 365 (MS-102) 
- Security (SC-200, SC-300, SC-500) 
- DevOps (AZ-400)</t>
  </si>
  <si>
    <t>Tên vị trí - công ty</t>
  </si>
  <si>
    <t>Nhóm ngành mà công việc yêu cầu</t>
  </si>
  <si>
    <t>Chứng chỉ được đề cập trong JD là gì?</t>
  </si>
  <si>
    <t>My đã điền sẵn link, chỉ cần follow</t>
  </si>
  <si>
    <t>Điền 1 trong 3:
- Preferred Qualifications
- Required Qualifications
- Employee Benefits</t>
  </si>
  <si>
    <t>- Việt Nam
- Nước ngoài</t>
  </si>
  <si>
    <t>- Đã đóng
- Đang tuyển</t>
  </si>
  <si>
    <t>Data/BI (PL-300)</t>
  </si>
  <si>
    <t>Chuyên Viên Data Analyst (Power BI Specialist) Công ty Cổ phần Viễn thông FPT</t>
  </si>
  <si>
    <t>Viễn thông/Cloud</t>
  </si>
  <si>
    <t>PL-300</t>
  </si>
  <si>
    <t>https://www.topcv.vn/viec-lam/chuyen-vien-data-analyst-power-bi-specialist/1438417.html</t>
  </si>
  <si>
    <t>Required Qualifications</t>
  </si>
  <si>
    <t>Việt Nam</t>
  </si>
  <si>
    <t>Đã đóng</t>
  </si>
  <si>
    <t>Bắt buộc có chứng chỉ về Power BI Advanced hoặc phân tích dữ liệu chuyên nghiệp.</t>
  </si>
  <si>
    <t xml:space="preserve">Data/BI (PL-300) , Cloud/Azure (AZ-900, AZ-104) </t>
  </si>
  <si>
    <t>Power Apps Developer – CODE LEAP (HCM)</t>
  </si>
  <si>
    <t>IT/Phát triển phần mềm</t>
  </si>
  <si>
    <t>PL-100, PL-200, PL-400, PL-600, AZ-900, AZ-204, etc</t>
  </si>
  <si>
    <t>https://www.monster.com.vn/job/powerapp-developer-code-leap-ho-chi-minh-39470718</t>
  </si>
  <si>
    <t>Employee benefits</t>
  </si>
  <si>
    <t>Đang tuyển</t>
  </si>
  <si>
    <t>Công ty offer cơ hội cho nhân viên thi miễn phí các chứng chỉ Microsoft</t>
  </si>
  <si>
    <t>Preferred Qualifications</t>
  </si>
  <si>
    <t>Cloud/Azure (AZ-900, AZ-104) </t>
  </si>
  <si>
    <t>Digital Solution Specialist – Security – Microsoft (Hanoi)</t>
  </si>
  <si>
    <t>Security/Bán hàng Kỹ thuật</t>
  </si>
  <si>
    <t>One or more of the following certifications is a plus: CISSP, CCSP, SC-500, AZ-900</t>
  </si>
  <si>
    <t>https://www.linkedin.com/jobs/view/digital-solution-specialists-security-at-microsoft-4261014224/?skipRedirect=true&amp;originalSubdomain=vn</t>
  </si>
  <si>
    <t>Security (SC-200, SC-300, SC-500) </t>
  </si>
  <si>
    <t>Solution Architect – Microsoft Security – CMC (HCM)</t>
  </si>
  <si>
    <t>Security/Kiến trúc giải pháp</t>
  </si>
  <si>
    <t>Chứng chỉ yêu cầu (Ưu tiên ứng viên có hoặc sẵn sàng thi chứng chỉ)
AZ-500: Microsoft Certified: Azure Security Technologies
SC-100: Microsoft Cybersecurity Architect
SC-200: Microsoft Security Operations Analyst
SC-300: Microsoft Security Identity and Access Administrator
SC-400: Microsoft Information Protection Administrator
Chứng chỉ Bảo mật khác (Giá trị Cộng thêm): CCSP, CISSP, CISM</t>
  </si>
  <si>
    <t>https://www.topcv.vn/viec-lam/solution-architect-microsoft-security/1771716.html</t>
  </si>
  <si>
    <t>Vừa ưu tiên vừa yêu cầu có chứng chỉ này</t>
  </si>
  <si>
    <t>Power BI Specialist - Công ty Tư Vấn Công Nghệ NGS</t>
  </si>
  <si>
    <t>CNTT/Hạ tầng</t>
  </si>
  <si>
    <t>Ưu tiên có chứng chỉ “Microsoft Certified: Data Analyst Associate” hoặc “Exam 70-778: Analyzing and Visualizing Data with Microsoft Power BI”</t>
  </si>
  <si>
    <t>Tuyển Power BI Specialist làm việc tại CÔNG TY CỔ PHẦN TƯ VẤN CÔNG NGHỆ NGS</t>
  </si>
  <si>
    <t>Cloud/Azure (AZ-900, AZ-104)</t>
  </si>
  <si>
    <t>Cloud Engineer - Công ty Tư Vấn Công Nghệ NGS</t>
  </si>
  <si>
    <t>Các chứng chỉ MCSA (O365…), Azure hoặc các chứng chỉ CNTT khác là một lợi thế…</t>
  </si>
  <si>
    <t>Tuyển Cloud Engineer (Azure) làm việc tại Công ty cổ phần thiết bị và truyền thông NGS</t>
  </si>
  <si>
    <t>có các chứng chỉ MCSA (O365…), Azure hoặc các chứng chỉ CNTT khác là một lợi thế…</t>
  </si>
  <si>
    <t>Microsoft 365 Engineer Công ty TNHH MTV Viễn Thông Quốc Tế FPT</t>
  </si>
  <si>
    <t>Có chứng chỉ Microsoft: MCSA/MCSE hoặc các chứng chỉ khác liên quan về Cloud (AZ-900, AZ-104)</t>
  </si>
  <si>
    <t>Tuyển Microsoft 365 Engineer làm việc tại Công Ty TNHH MTV Viễn Thông Quốc Tế FPT</t>
  </si>
  <si>
    <t>Có chứng chỉ Microsoft: MCSA/MCSE hoặc các chứng chỉ khác liên quan về Cloud.</t>
  </si>
  <si>
    <t>Microsoft 365 (MS-102)</t>
  </si>
  <si>
    <t>Microsoft Office 365 Admin Công ty TNHH Tư vấn UNI</t>
  </si>
  <si>
    <t>CNTT</t>
  </si>
  <si>
    <t>Chứng chỉ MS là điểm cộng</t>
  </si>
  <si>
    <t>Tuyển Microsoft Office 365 Admin làm việc tại TNHH tư vấn UNI</t>
  </si>
  <si>
    <t>Security (SC-200/SC-300/SC-500)</t>
  </si>
  <si>
    <t>Solution Architect – Microsoft Security Tổng Công ty Công nghệ &amp; Giải pháp CMC (CMC TS)</t>
  </si>
  <si>
    <t>-Chứng chỉ yêu cầu (Ưu tiên ứng viên có hoặc sẵn sàng thi chứng chỉ)
AZ-500: Microsoft Certified: Azure Security Technologies
SC-100: Microsoft Cybersecurity Architect
SC-200: Microsoft Security Operations Analyst
SC-300: Microsoft Security Identity and Access Administrator
SC-400: Microsoft Information Protection Administrator
Chứng chỉ Bảo mật khác (Giá trị Cộng thêm): CCSP, CISSP, CISM</t>
  </si>
  <si>
    <t>Tuyển Solution Architect - Microsoft Security làm việc tại Công ty TNHH Tổng công ty Công nghệ &amp; Giải pháp CMC</t>
  </si>
  <si>
    <t>Cyber Security Architect Value Point Systems</t>
  </si>
  <si>
    <t>Cloud certifications (Microsoft Azure Architect/DevOps Solutions Expert)</t>
  </si>
  <si>
    <t>100+ Microsoft Azure Jobs, Employment December 11, 2025| Indeed</t>
  </si>
  <si>
    <t>Cloud certifications (Microsoft Azure Architect/DevOps Solutions Expert</t>
  </si>
  <si>
    <t>Cloud Engineer (Aws/Azure)</t>
  </si>
  <si>
    <t>Có chứng chỉ cloud (AWS/Azure Associate trở lên) hoặc DevOps.</t>
  </si>
  <si>
    <t>https://itviec.com/viec-lam-it/cloud-engineer-aws-azure-fpt-is-1510?lab_feature=employer_job</t>
  </si>
  <si>
    <t>[Hà Nội] Chuyên viên cao cấp/ Chuyên gia Quản trị hệ thống – ABBank</t>
  </si>
  <si>
    <t>Ngân hàng</t>
  </si>
  <si>
    <t>https://abbank.vn/tuyen-dung/ha-noi-chuyen-vien-cao-cap-chuyen-gia-quan-tri-he-thong</t>
  </si>
  <si>
    <t>JD ghi “Ưu tiên…”</t>
  </si>
  <si>
    <t>Chuyên Viên Quản Lý Và Khai Thác Dữ Liệu – (JobOKO posting)</t>
  </si>
  <si>
    <t>Sản xuất (theo JD)</t>
  </si>
  <si>
    <t>https://vn.joboko.com/viec-lam-chuyen-vien-quan-ly-va-khai-thac-du-lieu-xvi5867402</t>
  </si>
  <si>
    <t>Tuyển Giảng viên/Trợ giảng Khoa học dữ liệu – Datapot</t>
  </si>
  <si>
    <t>Giáo dục/Đào tạo</t>
  </si>
  <si>
    <t>https://datapot.vn/datapot-tuyen-dung-giang-vien-va-tro-giang/</t>
  </si>
  <si>
    <t>JD có nhắc PL-300 trong nội dung</t>
  </si>
  <si>
    <t>Chuyên viên vận hành Cloud (Cloud Engineer) – CMC Telecom</t>
  </si>
  <si>
    <t>AZ-104</t>
  </si>
  <si>
    <t>https://cmctelecom.vn/recruit/chuyen-vien-van-hanh-cloud-cap-1-cloud-engineer/</t>
  </si>
  <si>
    <t>Cloud Operation Engineer (AWS/GCP/Azure) – CMC Telecom (TopCV)</t>
  </si>
  <si>
    <t>AZ-900</t>
  </si>
  <si>
    <t>https://www.topcv.vn/viec-lam/cloud-operation-engineer-aws-gcp-azure/1756579.html</t>
  </si>
  <si>
    <t>JD nhắc AZ-900</t>
  </si>
  <si>
    <t>Chuyên viên Vận hành Cloud Level 1 – CMC Telecom (CareerBuilder)</t>
  </si>
  <si>
    <t>https://careerbuilder.vn/vi/tim-viec-lam/chuyen-vien-van-hanh-cloud-level-1-cloud-operation-engineer-aws-gcp-azure.35BA5379.html</t>
  </si>
  <si>
    <t>Pre-sales giải pháp Viễn thông (MS Azure) – FPT</t>
  </si>
  <si>
    <t>CNTT/Cloud</t>
  </si>
  <si>
    <t>AZ-104, AZ-900</t>
  </si>
  <si>
    <t>https://fptjobs.com/tuyen-dung-old/pre-sales-giai-phap-vien-thong-ms-azure-23417</t>
  </si>
  <si>
    <t>Information and Communication Technology Assistant – Indeed</t>
  </si>
  <si>
    <t>Tổ chức/NGO</t>
  </si>
  <si>
    <t>AZ-900, AZ-104</t>
  </si>
  <si>
    <t>https://vn.indeed.com/viewjob?jk=9805d625a16178b9</t>
  </si>
  <si>
    <t>JD ghi “is an advantage”</t>
  </si>
  <si>
    <t>AI Developer – (JobOKO posting)</t>
  </si>
  <si>
    <t>CNTT/Phần mềm</t>
  </si>
  <si>
    <t>https://vn.joboko.com/viec-lam-ai-developer-xvi6092679</t>
  </si>
  <si>
    <t>JD ghi “Preferred Certifications”</t>
  </si>
  <si>
    <t>System Engineer 247 – (JobOKO posting)</t>
  </si>
  <si>
    <t>https://vn.joboko.com/viec-lam-system-engineer-247-xvi6195077</t>
  </si>
  <si>
    <t>JD ghi “là lợi thế”</t>
  </si>
  <si>
    <t>Kỹ Sư Hệ Thống – Exchange AD – (JobOKO posting)</t>
  </si>
  <si>
    <t>https://vn.joboko.com/viec-lam-ky-su-he-thong-exchange-ad-xvi6154419?amp=1</t>
  </si>
  <si>
    <t>Chuyên viên vận hành Cloud (Cloud Engineer) – (JobOKO posting)</t>
  </si>
  <si>
    <t>https://vn.joboko.com/viec-lam-chuyen-vien-van-hanh-cloud-cloud-engineer-xvi6137408</t>
  </si>
  <si>
    <t>JD ghi “là một lợi thế”</t>
  </si>
  <si>
    <t>Senior IT System Engineer Cloud/Linux/AWS/Azure – (JobOKO/NashTech)</t>
  </si>
  <si>
    <t>CNTT/Outsourcing</t>
  </si>
  <si>
    <t>https://vn.joboko.com/viec-lam-senior-it-system-engineer-cloud-linux-aws-azure-xvi6160525</t>
  </si>
  <si>
    <t>JD ghi “is plus”</t>
  </si>
  <si>
    <t>IT Server Administration – (JobOKO posting)</t>
  </si>
  <si>
    <t>https://vn.joboko.com/viec-lam-it-server-administration-window-xvi5933540</t>
  </si>
  <si>
    <t>JD ghi “Preferred Qualifications”</t>
  </si>
  <si>
    <t>Mid/Sr System Administrator – Infrastructure/Security – (JobOKO posting)</t>
  </si>
  <si>
    <t>MS-102, SC-300, AZ-104</t>
  </si>
  <si>
    <t>https://vn.joboko.com/viec-lam-mid-sr-system-administrator-infrastructure-security-xvi5876215</t>
  </si>
  <si>
    <t>Mục “Certifications (Preferred)”</t>
  </si>
  <si>
    <t>Senior Engineer – O365 / Messaging &amp; Collaboration (HN) – (JobOKO posting)</t>
  </si>
  <si>
    <t>https://vn.joboko.com/viec-lam-senior-engineer-o365-messaging-collaboration-ha-noi-ta174-xvi6125068</t>
  </si>
  <si>
    <t>Chuyên viên Quản trị Ứng dụng hạ tầng doanh nghiệp – K.CNTT – (JobOKO)</t>
  </si>
  <si>
    <t>Ngân hàng/CNTT</t>
  </si>
  <si>
    <t>MS-102, SC-300</t>
  </si>
  <si>
    <t>https://vn.joboko.com/viec-lam-chuyen-vien-quan-tri-ung-dung-ha-tang-doanh-nghiep-k-cntt-xvi5967303</t>
  </si>
  <si>
    <t>CVCC Quản trị Ứng dụng hạ tầng doanh nghiệp – K.CNTT – (JobOKO)</t>
  </si>
  <si>
    <t>https://vn.joboko.com/viec-lam-cvcc-quan-tri-ung-dung-ha-tang-doanh-nghiep-k-cntt-xvi5995763</t>
  </si>
  <si>
    <t>Security Engineer/Admin (Microsoft, Azure, OWASP) – Onpoint (ITviec)</t>
  </si>
  <si>
    <t>CNTT/An ninh</t>
  </si>
  <si>
    <t>SC-200, SC-300</t>
  </si>
  <si>
    <t>https://itviec.com/viec-lam-it/security-administrator-microsoft-azure-owasp-onpoint-1924</t>
  </si>
  <si>
    <t>Mục “Preferred Qualifications”</t>
  </si>
  <si>
    <t>Security Administrator – Onpoint (JobOKO mirror)</t>
  </si>
  <si>
    <t>https://vn.joboko.com/viec-lam-security-administrator-xvi6125015</t>
  </si>
  <si>
    <t>Solution Architect – Microsoft Security (TopCV)</t>
  </si>
  <si>
    <t>JD liệt kê SC-200/SC-300</t>
  </si>
  <si>
    <t>[HCM] Solution Architect – Microsoft Security (JobOKO mirror)</t>
  </si>
  <si>
    <t>https://vn.joboko.com/viec-lam-hcm-solution-architect-microsoft-security-xvi5861070</t>
  </si>
  <si>
    <t>Mục chứng chỉ ưu tiên</t>
  </si>
  <si>
    <t>Chuyên viên vận hành hệ thống SIEM – Luvina</t>
  </si>
  <si>
    <t>SC-200</t>
  </si>
  <si>
    <t>Đà Nẵng - SIEM Operations Specialist - Upto 30M gross</t>
  </si>
  <si>
    <t>JD ghi SC-200</t>
  </si>
  <si>
    <t>Chuyên viên vận hành hệ thống SIEM – (Recland/HRI posting)</t>
  </si>
  <si>
    <t>https://recland.co/job/chuyen-vien-van-hanh-he-thong-siem-eAU5NHjY</t>
  </si>
  <si>
    <t>DevOps (AZ-400)</t>
  </si>
  <si>
    <t>Senior DevOps Engineer (Azure) – Rikkeisoft (ITviec)</t>
  </si>
  <si>
    <t>CNTT/DevOps</t>
  </si>
  <si>
    <t>AZ-400, AZ-104</t>
  </si>
  <si>
    <t>https://itviec.com/viec-lam-it/senior-devops-engineer-azure-rikkeisoft-5710</t>
  </si>
  <si>
    <t>JD ghi “Relevant certifications…”</t>
  </si>
  <si>
    <t>Remote/Hybrid Senior DevOps Engineer (Azure) – (JobOKO mirror)</t>
  </si>
  <si>
    <t>https://vn.joboko.com/viec-lam-remote-hybrid-senior-devops-engineer-azure-xvi6154403</t>
  </si>
  <si>
    <t>JD ghi AZ-400</t>
  </si>
  <si>
    <t>IT Staff (DevOps Engineer – Automotive Digital Transformation) – (JobOKO)</t>
  </si>
  <si>
    <t>https://vn.joboko.com/viec-lam-it-staff-devops-engineer-automotive-digital-transformation-xvi5877247</t>
  </si>
  <si>
    <t>Lead Data Engineer (Leadership/Python/SQL) – (JobOKO)</t>
  </si>
  <si>
    <t>CNTT/Data</t>
  </si>
  <si>
    <t>AZ-400</t>
  </si>
  <si>
    <t>https://vn.joboko.com/viec-lam-lead-data-engineer-leadership-python-sql-xvi6205596</t>
  </si>
  <si>
    <t>Mục “Certifications”</t>
  </si>
  <si>
    <t>Senior DevOps Engineer – 1 year Contractor – (JobOKO)</t>
  </si>
  <si>
    <t>https://vn.joboko.com/viec-lam-senior-devops-engineer-1-year-contractor-xvi6112507</t>
  </si>
  <si>
    <t>JD ghi “Azure certifications…”</t>
  </si>
  <si>
    <t>Data Coach (PowerBI) – Correlation One</t>
  </si>
  <si>
    <t>EdTech/Training</t>
  </si>
  <si>
    <t>https://boards.greenhouse.io/correlationone/jobs/5736294004</t>
  </si>
  <si>
    <t>Nước ngoài</t>
  </si>
  <si>
    <t>JD ghi “PL-300 … is required”</t>
  </si>
  <si>
    <t>Curriculum Developer: Microsoft Power BI – Correlation One</t>
  </si>
  <si>
    <t>https://job-boards.greenhouse.io/correlationone/jobs/5726262004</t>
  </si>
  <si>
    <t>JD ghi “Must hold … (PL-300)”</t>
  </si>
  <si>
    <t>Security (SC-200)</t>
  </si>
  <si>
    <t>Cyber Security Analyst II – CyberSheath</t>
  </si>
  <si>
    <t>Cybersecurity Services</t>
  </si>
  <si>
    <t>https://boards.greenhouse.io/cybersheath/jobs/5026008008</t>
  </si>
  <si>
    <t>JD liệt kê SC-200 trong yêu cầu</t>
  </si>
  <si>
    <t>Cloud/Azure (AZ-104)</t>
  </si>
  <si>
    <t>Senior Azure Cloud Network Engineer – 3Cloud</t>
  </si>
  <si>
    <t>Cloud/IT Services</t>
  </si>
  <si>
    <t>https://job-boards.greenhouse.io/3cloud/jobs/8230224002</t>
  </si>
  <si>
    <t>JD ghi AZ-104 required</t>
  </si>
  <si>
    <t>Azure Engineer – Enavate</t>
  </si>
  <si>
    <t>https://boards.greenhouse.io/enavate/jobs/8107883002</t>
  </si>
  <si>
    <t>JD nêu AZ-104 (ưu tiên)</t>
  </si>
  <si>
    <t>Cloud Engineer - Azure/M365 – Telana (Ancoris)</t>
  </si>
  <si>
    <t>MSP/IT Services</t>
  </si>
  <si>
    <t>MS-102, AZ-104</t>
  </si>
  <si>
    <t>https://boards.eu.greenhouse.io/ancoris/jobs/4683366101</t>
  </si>
  <si>
    <t>JD nêu MS-102 “highly desirable”, AZ-104 working towards</t>
  </si>
  <si>
    <t>Microsoft Pre-Sales Architect – Quadbridge</t>
  </si>
  <si>
    <t>IT Reseller/VAR</t>
  </si>
  <si>
    <t>SC-200, AZ-900, MS-102, AZ-104</t>
  </si>
  <si>
    <t>https://job-boards.greenhouse.io/quadbridge/jobs/4064568009</t>
  </si>
  <si>
    <t>JD ghi SC-200 + AZ-900 required; MS-102/AZ-104 optional</t>
  </si>
  <si>
    <t>Security Engineer &amp; Analyst – Lumen Bioscience</t>
  </si>
  <si>
    <t>Biotech</t>
  </si>
  <si>
    <t>https://job-boards.greenhouse.io/lumenbioscience/jobs/4068690009</t>
  </si>
  <si>
    <t>JD nêu SC-200/SC-300 trong nhóm cert mong muốn</t>
  </si>
  <si>
    <t>Security (SC-300)</t>
  </si>
  <si>
    <t>Sr Systems Administrator – Lightspeed DMS</t>
  </si>
  <si>
    <t>Software/SaaS</t>
  </si>
  <si>
    <t>AZ-104, SC-300</t>
  </si>
  <si>
    <t>https://job-boards.greenhouse.io/lightspeeddms/jobs/4970376008</t>
  </si>
  <si>
    <t>JD nêu AZ-104 + SC-300 (ưu tiên)</t>
  </si>
  <si>
    <t>Senior Cloud Security Engineer (Azure) – 3Cloud</t>
  </si>
  <si>
    <t>https://job-boards.greenhouse.io/3cloud/jobs/8115592002</t>
  </si>
  <si>
    <t>JD nêu SC-200/SC-300 strongly desired</t>
  </si>
  <si>
    <t>DevOps Engineer – DYOPATH</t>
  </si>
  <si>
    <t>AZ-104, AZ-400</t>
  </si>
  <si>
    <t>https://job-boards.greenhouse.io/dyopath/jobs/4623643006</t>
  </si>
  <si>
    <t>JD nêu AZ-104/AZ-400 (preferred)</t>
  </si>
  <si>
    <t>DevOps Engineer – Orion Innovation</t>
  </si>
  <si>
    <t>https://job-boards.greenhouse.io/orioninnovationnaukri/jobs/4598549006</t>
  </si>
  <si>
    <t>JD ghi “Must have AZ-400 …”</t>
  </si>
  <si>
    <t>Sr Configuration Engineer (Azure Devops) – Altera Digital Health</t>
  </si>
  <si>
    <t>HealthTech</t>
  </si>
  <si>
    <t>AZ-900, AZ-400, AZ-104</t>
  </si>
  <si>
    <t>https://job-boards.greenhouse.io/alteradigitalhealthindia/jobs/4858299007</t>
  </si>
  <si>
    <t>JD nêu AZ-900/AZ-400/AZ-104 preferred</t>
  </si>
  <si>
    <t>Cloud/Azure (AZ-900)</t>
  </si>
  <si>
    <t>Technical Solutions Engineer II – ShipBob</t>
  </si>
  <si>
    <t>E-commerce/Logistics</t>
  </si>
  <si>
    <t>https://job-boards.greenhouse.io/shipbobinc/jobs/4609661005</t>
  </si>
  <si>
    <t>JD nêu “Azure AZ-900 Certification” (nice to have)</t>
  </si>
  <si>
    <t>Professional Services Engineer – Medicus IT</t>
  </si>
  <si>
    <t>https://job-boards.greenhouse.io/medicusit/jobs/7512125003</t>
  </si>
  <si>
    <t>JD ghi “Azure Fundamentals AZ 900 required”</t>
  </si>
  <si>
    <t>Power BI Developer – Planet Technologies</t>
  </si>
  <si>
    <t>IT Services/Public Sector</t>
  </si>
  <si>
    <t>https://jobs.lever.co/planettechnologies/1f7796a9-ba52-44e7-a527-3ef54fd37fad</t>
  </si>
  <si>
    <t>JD liệt kê “Certification: PL-300 …” trong qualifications</t>
  </si>
  <si>
    <t>Power BI Developer (Remote) – Smart Working Solutions</t>
  </si>
  <si>
    <t>Outsourcing/IT Services</t>
  </si>
  <si>
    <t>https://jobs.lever.co/smart-working-solutions/addd36ab-4262-4780-9538-24f17838280e</t>
  </si>
  <si>
    <t>JD ghi PL-300 “highly preferred”</t>
  </si>
  <si>
    <t>Power BI &amp; SharePoint Developer – Jobgether</t>
  </si>
  <si>
    <t>Recruiting/Staffing</t>
  </si>
  <si>
    <t>https://www.linkedin.com/jobs/view/power-bi-sharepoint-developer-at-jobgether-4339393561/?skipRedirect=true</t>
  </si>
  <si>
    <t>JD liệt kê PL-300 trong required certs</t>
  </si>
  <si>
    <t>Technical Account Manager – Atmosera</t>
  </si>
  <si>
    <t>https://jobs.lever.co/atmosera/7b3d5607-808a-4298-948f-692c1cf8a3f0</t>
  </si>
  <si>
    <t>JD ghi “AZ-900 Preferred”</t>
  </si>
  <si>
    <t>Tier 2 Systems Administrator – Cloudforce</t>
  </si>
  <si>
    <t>Tier 2 Systems Administrator @ Cloudforce | Jobright.ai</t>
  </si>
  <si>
    <t>JD ghi AZ-900 strongly preferred</t>
  </si>
  <si>
    <t>Site Reliability Engineer, Azure – Wellfit</t>
  </si>
  <si>
    <t>https://jobs.lever.co/wellfit/df5db14b-60c2-4c0b-bb80-a8fcf734e2ce</t>
  </si>
  <si>
    <t>JD ghi AZ-900 required</t>
  </si>
  <si>
    <t>Cybersecurity Analyst – Infrastructure &amp; Data Security – Protective</t>
  </si>
  <si>
    <t>Finance/Insurance</t>
  </si>
  <si>
    <t>https://jobs.lever.co/protective/c569860e-bb0a-4c86-9b5b-65660e458622</t>
  </si>
  <si>
    <t>JD nêu AZ-900 (preferable)</t>
  </si>
  <si>
    <t>Consultant II - Azure DevOps – Reply</t>
  </si>
  <si>
    <t>Consulting/IT Services</t>
  </si>
  <si>
    <t>https://jobs.lever.co/reply/f3ea590f-b58a-420b-ab3f-35cc1f08f9a9</t>
  </si>
  <si>
    <t>JD nêu AZ-400/AZ-104 (e.g.)</t>
  </si>
  <si>
    <t>Azure DevOps Engineer – Qualysoft</t>
  </si>
  <si>
    <t>https://jobs.lever.co/qualysoft/45ce0eb5-8e73-4888-9056-ecfe2ac73c25</t>
  </si>
  <si>
    <t>JD nêu AZ-400/AZ-104</t>
  </si>
  <si>
    <t>Data Engineer (Infra/DevOps Focus) – Rackspace</t>
  </si>
  <si>
    <t>https://jobs.lever.co/rackspace/2abe0983-e11c-40d4-bcd4-3fcbc491ddfe</t>
  </si>
  <si>
    <t>JD nêu AZ-400 trong preferred certs</t>
  </si>
  <si>
    <t>Principal Platform Engineer (Azure &amp; GitHub) – Atmosera</t>
  </si>
  <si>
    <t>https://jobs.lever.co/atmosera/774855a3-ff79-4c56-a8ca-a00856941e49</t>
  </si>
  <si>
    <t>JD ghi “Certifications: AZ-400 …”</t>
  </si>
  <si>
    <t>Cloud Engineer – Brillio</t>
  </si>
  <si>
    <t>https://jobs.lever.co/brillio-2/4e30182b-0421-4ea1-926c-17db1c72ac82</t>
  </si>
  <si>
    <t>JD nêu AZ-400/AZ-104 desirable</t>
  </si>
  <si>
    <t>Sr. Systems Administrator – FreedomPay</t>
  </si>
  <si>
    <t>FinTech</t>
  </si>
  <si>
    <t>https://jobs.lever.co/freedompay/346770dc-ea8d-413b-b0a9-154c94d8f25e</t>
  </si>
  <si>
    <t>JD nêu MS-102/AZ-104 (preferred)</t>
  </si>
  <si>
    <t>IT Systems Engineer – Mosaic Pediatric Therapy</t>
  </si>
  <si>
    <t>Healthcare</t>
  </si>
  <si>
    <t>https://jobs.lever.co/mosaictherapy/e61437c1-ffbc-4351-be6a-241682deafc7</t>
  </si>
  <si>
    <t>JD liệt kê AZ-900/AZ-104 trong cert list</t>
  </si>
  <si>
    <t>Azure Cloud Platform Engineer – Jobgether</t>
  </si>
  <si>
    <t>(18) Cloud Platform Engineer - Azure &amp; Kubernetes | Jobgether | LinkedIn</t>
  </si>
  <si>
    <t>Data Visualization Analyst – Continental</t>
  </si>
  <si>
    <t>Manufacturing/Automotive</t>
  </si>
  <si>
    <t>https://jobs.smartrecruiters.com/Continental/744000098633774-data-visualization-analyst</t>
  </si>
  <si>
    <t>JD nêu PL-300 (preferred)</t>
  </si>
  <si>
    <t>Data Analyst – Sia</t>
  </si>
  <si>
    <t>https://jobs.smartrecruiters.com/Sia/744000097463505-data-analyst</t>
  </si>
  <si>
    <t>JD ghi “Mandatory: PL-300”</t>
  </si>
  <si>
    <t>PS Consultant – Junior Power ON Functional Consultant – insightsoftware</t>
  </si>
  <si>
    <t>Software</t>
  </si>
  <si>
    <t>https://jobs.smartrecruiters.com/Insightsoftware/744000093999402-ps-consultant-junior-power-on-functional-consultant</t>
  </si>
  <si>
    <t>JD nêu PL-300 (e.g.)</t>
  </si>
  <si>
    <t>Azure Cloud Security Engineer – Devoteam</t>
  </si>
  <si>
    <t>Consulting/Cybersecurity</t>
  </si>
  <si>
    <t>https://jobs.smartrecruiters.com/Devoteam/744000048374275-azure-cloud-security-engineer</t>
  </si>
  <si>
    <t>JD nêu SC-200/SC-300 (preferred certs)</t>
  </si>
  <si>
    <t>Security Consultant Microsoft – Inetum</t>
  </si>
  <si>
    <t>https://jobs.smartrecruiters.com/Inetum2/744000079452397-security-consultant-microsoft</t>
  </si>
  <si>
    <t>JD nêu SC-200/SC-300 (strong plus)</t>
  </si>
  <si>
    <t>Senior M365 Specialist – Resillion</t>
  </si>
  <si>
    <t>Cyber/IT Services</t>
  </si>
  <si>
    <t>https://jobs.smartrecruiters.com/Resillion/744000097720626-senior-m365-specialist-</t>
  </si>
  <si>
    <t>JD ghi MS-102 required</t>
  </si>
  <si>
    <t>System Administrator – Microsoft 365 Specialist – Tietoevry</t>
  </si>
  <si>
    <t>https://jobs.smartrecruiters.com/Tietoevry1/744000097015491-system-administrator-microsoft-365-specialist-tietoevry-create-m-f-d-</t>
  </si>
  <si>
    <t>JD nêu MS-102/SC-300 (plus)</t>
  </si>
  <si>
    <t>IT M365 Administrator / Support – Fusion Consulting</t>
  </si>
  <si>
    <t>https://jobs.smartrecruiters.com/FusionConsulting/744000098724525-it-m365-administrator-support-m-f-d-</t>
  </si>
  <si>
    <t>JD nêu MS-102/SC-300/AZ-104 (preferred certs)</t>
  </si>
  <si>
    <t>Azure Migration and DevOps Consultant – Bosch Group</t>
  </si>
  <si>
    <t>Manufacturing/Engineering</t>
  </si>
  <si>
    <t>Azure Migration and DevOps Consultant with 6 - 8 Year of Experience at Robert Bosch in India | Position Closed</t>
  </si>
  <si>
    <t>JD liệt kê AZ-104 trong certifications</t>
  </si>
  <si>
    <t>DevOps Engineer – Ingram Barge Company</t>
  </si>
  <si>
    <t>(18) DevOps Engineer | Ingram Barge Company | LinkedIn</t>
  </si>
  <si>
    <t>Systems Engineer – M365 &amp; On-Premise – Swissquote</t>
  </si>
  <si>
    <t>Finance/Trading</t>
  </si>
  <si>
    <t>MS-102, AZ-400</t>
  </si>
  <si>
    <t>https://jobs.smartrecruiters.com/Swissquote/744000082387506-systems-engineer-m365-on-premise</t>
  </si>
  <si>
    <t>JD nêu MS-102; AZ-400 (nice to have)</t>
  </si>
  <si>
    <t>Senior Associate, IT, Azure Administrator – MUFG Investor Services</t>
  </si>
  <si>
    <t>Finance</t>
  </si>
  <si>
    <t>AZ-900, AZ-104, SC-300</t>
  </si>
  <si>
    <t>https://jobs.smartrecruiters.com/MUFGInvestorServices/744000094461445-senior-associate-it-azure-administrator</t>
  </si>
  <si>
    <t>JD nêu AZ-900/AZ-104/SC-300 (relevant certs)</t>
  </si>
  <si>
    <t>Cloud Engineer – REPA GROUP</t>
  </si>
  <si>
    <t>Manufacturing/Industrial</t>
  </si>
  <si>
    <t>https://jobs.smartrecruiters.com/REPAGROUP/744000095941049-cloud-engineer</t>
  </si>
  <si>
    <t>JD nêu AZ-104 trong yêu cầu</t>
  </si>
  <si>
    <t>Windows Engineer – Sopra Steria</t>
  </si>
  <si>
    <t>SC-300</t>
  </si>
  <si>
    <t>https://jobs.smartrecruiters.com/SopraSteria1/744000098322115-windows-engineer</t>
  </si>
  <si>
    <t>JD nêu SC-300 (nice to have)</t>
  </si>
  <si>
    <t>Incident Coordinator &amp; Threat Hunting Engineer – Drees &amp; Sommer</t>
  </si>
  <si>
    <t>Engineering/Consulting</t>
  </si>
  <si>
    <t>https://jobs.smartrecruiters.com/DreesSommerSE/744000097273985-incident-coordinator-threat-hunting-engineer</t>
  </si>
  <si>
    <t>JD nêu SC-200/SC-300 (highly valued)</t>
  </si>
  <si>
    <t>Data Analyst – Chevron</t>
  </si>
  <si>
    <t>Energy/Oil &amp; Gas</t>
  </si>
  <si>
    <t>https://chevron.wd5.myworkdayjobs.com/en-US/jobs/job/Data-Analyst_R000067673</t>
  </si>
  <si>
    <t>JD nêu PL-300 (certification)</t>
  </si>
  <si>
    <t>Senior Data Analyst – Cumming Group</t>
  </si>
  <si>
    <t>https://www.glassdoor.co.uk/job-listing/data-analyst-cumming-group-JV_IC3316792_KO0,12_KE13,26.htm?jl=1009919423717</t>
  </si>
  <si>
    <t>JD nêu PL-300 (cert)</t>
  </si>
  <si>
    <t>Senior Developer – Power BI &amp; Analytics – Sandvik</t>
  </si>
  <si>
    <t>https://sandvik.wd3.myworkdayjobs.com/en-US/coromant-jobs/job/Senior-Developer---Power-BI---Analytics_R0086181</t>
  </si>
  <si>
    <t>Power BI &amp; Power Apps Developer – DXC Technology</t>
  </si>
  <si>
    <t>https://dxctechnology.wd1.myworkdayjobs.com/en-US/DXCJobs/job/Power-BI---Power-Apps-Developer_51565370</t>
  </si>
  <si>
    <t>JD nêu PL-300 trong cert list</t>
  </si>
  <si>
    <t>M365 Solutions Architect – Surbana Jurong</t>
  </si>
  <si>
    <t>https://www.linkedin.com/jobs/view/m365-solutions-architect-at-sj-group-4258296326/?skipRedirect=true&amp;originalSubdomain=sg</t>
  </si>
  <si>
    <t>JD nêu MS-102/SC-300 desirable</t>
  </si>
  <si>
    <t>Microsoft 365 &amp; Azure Platform Engineer – SchoolsFirst FCU</t>
  </si>
  <si>
    <t>MS-102, AZ-104, SC-300</t>
  </si>
  <si>
    <t>https://schoolsfirstfcu.wd5.myworkdayjobs.com/careers/job/tustin-ca/microsoft-365---azure-platform-engineer--systems-engineer-_jr104979</t>
  </si>
  <si>
    <t>JD nêu MS-102/AZ-104/SC-300 preferred</t>
  </si>
  <si>
    <t>Microsoft M365 and Azure Solutions Architect – UHS/NYUHS</t>
  </si>
  <si>
    <t>MS-102</t>
  </si>
  <si>
    <t>https://nyuhs.wd12.myworkdayjobs.com/en-US/nyuhscareers1/job/Microsoft-M365-and-Azure-Solutions-Architect_R0000008845</t>
  </si>
  <si>
    <t>JD nêu MS-102</t>
  </si>
  <si>
    <t>Cloud Security Engineer Senior Associate – PwC</t>
  </si>
  <si>
    <t>https://pwc.wd3.myworkdayjobs.com/en-US/Global_Experienced_Careers/job/ETIC--Cyber-Security--Cloud-Security-Engineer-Senior-Associate_670876WD</t>
  </si>
  <si>
    <t>Security Analyst (SOC Level 2) – Ensign InfoSecurity</t>
  </si>
  <si>
    <t>Cybersecurity</t>
  </si>
  <si>
    <t>https://ensigninfosecurity.wd3.myworkdayjobs.com/en-US/Ensign_Careers/job/Security-Analyst--SOC-Level-2-_JOBREQ-0003094</t>
  </si>
  <si>
    <t>JD nêu SC-200 trong cert list</t>
  </si>
  <si>
    <t>Senior Cloud Operations Engineer – AIA</t>
  </si>
  <si>
    <t>Insurance/Finance</t>
  </si>
  <si>
    <t>https://ph.jobstreet.com/job/88775729</t>
  </si>
  <si>
    <t>JD nêu AZ-104/AZ-400 (highly regarded)</t>
  </si>
  <si>
    <t>Power BI Developer – Morgan (Remote UK Wide)</t>
  </si>
  <si>
    <t>Consulting/IT</t>
  </si>
  <si>
    <t>https://careers-morganplc.icims.com/jobs/6062/power-bi-developer/job</t>
  </si>
  <si>
    <t>JD ghi “PL-300 … preferred”</t>
  </si>
  <si>
    <t>Cloud Technician (L2) – iomart</t>
  </si>
  <si>
    <t>MSP/Cloud</t>
  </si>
  <si>
    <t>https://careers-iomart.icims.com/jobs/1987/cloud-technician-%28l2%29/job</t>
  </si>
  <si>
    <t>JD nêu AZ-104 (working towards)</t>
  </si>
  <si>
    <t>Sr. Security Architect/Azure Cloud Security Engineer – Edgewater IT</t>
  </si>
  <si>
    <t>IT/Cybersecurity</t>
  </si>
  <si>
    <t>https://careers-edgewaterit.icims.com/jobs/4041/2025-4041/job</t>
  </si>
  <si>
    <t>JD nêu SC-200 strongly preferred</t>
  </si>
  <si>
    <t>Zero Trust Security Engineer – SME – DecisionPoint</t>
  </si>
  <si>
    <t>https://careers-decisionpointcorp.icims.com/jobs/2968/zero-trust-security-engineer---sme/job</t>
  </si>
  <si>
    <t>JD ghi SC-200 required (trong certs)</t>
  </si>
  <si>
    <t>Presales Security Consultant – (iCIMS Social)</t>
  </si>
  <si>
    <t>https://social.icims.com/job/Presales-Security-Consultant-M365-Multi-Cloud-Enterprise-Security-Job-HK-Kwun-Tong-47086499.html</t>
  </si>
  <si>
    <t>JD liệt kê MS-102 trong Preferred</t>
  </si>
  <si>
    <t>Nhóm nghiệp vụ tương ứng với chứng chỉ nào?</t>
  </si>
  <si>
    <t>Data/BI (PL-300) </t>
  </si>
  <si>
    <t>Microsoft 365 (MS-102)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</si>
</sst>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"/>
      <charset val="1"/>
    </font>
    <font>
      <b/>
      <sz val="11"/>
      <color theme="1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sz val="11"/>
      <color rgb="FF333333"/>
      <name val="Times New Roman"/>
    </font>
    <font>
      <i/>
      <sz val="9"/>
      <color theme="1"/>
      <name val="Times New Roman"/>
    </font>
    <font>
      <sz val="11"/>
      <color rgb="FF121212"/>
      <name val="Times New Roman"/>
    </font>
    <font>
      <sz val="11"/>
      <color rgb="FF000000"/>
      <name val="Times New Roman"/>
    </font>
    <font>
      <i/>
      <sz val="9"/>
      <color rgb="FF000000"/>
      <name val="Times New Roman"/>
    </font>
    <font>
      <b/>
      <sz val="11"/>
      <color theme="1"/>
      <name val="Segoe UI"/>
      <charset val="1"/>
    </font>
    <font>
      <sz val="11"/>
      <color rgb="FF141415"/>
      <name val="Times New Roman"/>
    </font>
    <font>
      <b/>
      <sz val="24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8" fillId="2" borderId="0" xfId="0" quotePrefix="1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0" xfId="1"/>
    <xf numFmtId="0" fontId="1" fillId="0" borderId="0" xfId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5" borderId="0" xfId="0" applyFont="1" applyFill="1" applyAlignment="1">
      <alignment vertical="top"/>
    </xf>
    <xf numFmtId="0" fontId="5" fillId="5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1" applyFont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6" fillId="0" borderId="0" xfId="1" applyFont="1"/>
    <xf numFmtId="0" fontId="14" fillId="5" borderId="0" xfId="0" applyFont="1" applyFill="1" applyAlignment="1">
      <alignment vertical="top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" fillId="0" borderId="0" xfId="1" applyAlignment="1">
      <alignment horizontal="left" vertical="center" wrapText="1"/>
    </xf>
    <xf numFmtId="0" fontId="12" fillId="0" borderId="0" xfId="0" applyFont="1"/>
    <xf numFmtId="0" fontId="1" fillId="0" borderId="0" xfId="1" applyAlignment="1">
      <alignment wrapText="1"/>
    </xf>
  </cellXfs>
  <cellStyles count="2">
    <cellStyle name="Bình thường" xfId="0" builtinId="0"/>
    <cellStyle name="Hyperlink" xfId="1" xr:uid="{00000000-000B-0000-0000-000008000000}"/>
  </cellStyles>
  <dxfs count="29">
    <dxf>
      <font>
        <name val="Times New Roman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1" indent="0" justifyLastLine="0" shrinkToFit="0" readingOrder="0"/>
    </dxf>
    <dxf>
      <font>
        <name val="Times New Roman"/>
      </font>
      <alignment horizontal="left" vertical="top" textRotation="0" wrapText="1" indent="0" justifyLastLine="0" shrinkToFit="0" readingOrder="0"/>
    </dxf>
    <dxf>
      <font>
        <name val="Times New Roman"/>
      </font>
      <alignment horizontal="left" vertical="top" textRotation="0" wrapText="1" indent="0" justifyLastLine="0" shrinkToFit="0" readingOrder="0"/>
    </dxf>
    <dxf>
      <font>
        <name val="Times New Roman"/>
      </font>
      <alignment horizontal="left" vertical="top" textRotation="0" wrapText="1" indent="0" justifyLastLine="0" shrinkToFit="0" readingOrder="0"/>
    </dxf>
    <dxf>
      <font>
        <name val="Times New Roman"/>
      </font>
      <alignment horizontal="left" vertical="top" textRotation="0" wrapText="1" indent="0" justifyLastLine="0" shrinkToFit="0" readingOrder="0"/>
    </dxf>
    <dxf>
      <font>
        <name val="Times New Roman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1" indent="0" justifyLastLine="0" shrinkToFit="0" readingOrder="0"/>
    </dxf>
    <dxf>
      <font>
        <name val="Times New Roman"/>
      </font>
      <alignment horizontal="left" vertical="top" textRotation="0" wrapText="1" indent="0" justifyLastLine="0" shrinkToFit="0" readingOrder="0"/>
    </dxf>
    <dxf>
      <font>
        <name val="Times New Roman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inor"/>
      </font>
      <alignment horizontal="left" vertical="top" textRotation="0" wrapText="1" indent="0" justifyLastLine="0" shrinkToFit="0" readingOrder="0"/>
    </dxf>
    <dxf>
      <alignment horizontal="left" vertical="center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alignment horizontal="left" vertical="center"/>
    </dxf>
    <dxf>
      <alignment horizontal="center" vertical="center"/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/>
    </dxf>
    <dxf>
      <font>
        <name val="Times New Roman"/>
      </font>
      <alignment horizontal="general" vertical="top" textRotation="0" wrapText="1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1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name val="Times New Roman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inor"/>
      </font>
      <alignment horizontal="general" vertical="top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104775</xdr:rowOff>
    </xdr:from>
    <xdr:to>
      <xdr:col>23</xdr:col>
      <xdr:colOff>457200</xdr:colOff>
      <xdr:row>41</xdr:row>
      <xdr:rowOff>152400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528F83E2-A534-22B4-A347-A984EE59D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104775"/>
          <a:ext cx="13182600" cy="8143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6CED9C-13CF-40EA-AADF-052D12FE5672}" name="Table3" displayName="Table3" ref="B2:K53" totalsRowShown="0" headerRowDxfId="28" dataDxfId="27">
  <autoFilter ref="B2:K53" xr:uid="{B16CED9C-13CF-40EA-AADF-052D12FE5672}"/>
  <tableColumns count="10">
    <tableColumn id="1" xr3:uid="{8B650765-156A-4759-A048-4B5547A1022F}" name="STT" dataDxfId="26"/>
    <tableColumn id="3" xr3:uid="{CB2B2472-86F4-4DFC-9751-5E3AD3647275}" name="Company" dataDxfId="25"/>
    <tableColumn id="4" xr3:uid="{986FFA63-59C7-4150-BB69-7ED1D541E897}" name="Job Title" dataDxfId="24"/>
    <tableColumn id="5" xr3:uid="{36E1D5A0-52C5-464B-96A4-E0A8A394104D}" name="Role Type" dataDxfId="23"/>
    <tableColumn id="12" xr3:uid="{046B8C5F-CBA8-4E08-A124-1849359578A6}" name="Level" dataDxfId="22"/>
    <tableColumn id="6" xr3:uid="{87493A09-918C-4CC9-8427-8915CFCEAEE0}" name="Employment Type" dataDxfId="21"/>
    <tableColumn id="7" xr3:uid="{CDBEA64B-30C2-4D13-9AE8-80B17E21837F}" name="Location" dataDxfId="20"/>
    <tableColumn id="2" xr3:uid="{C2893D74-B04B-4669-B3A8-285D8BF54065}" name="Company Type" dataDxfId="19"/>
    <tableColumn id="8" xr3:uid="{4764E067-88A2-490E-A2A2-C307BDEF6FCD}" name="Industry" dataDxfId="18"/>
    <tableColumn id="9" xr3:uid="{9D0F2386-6C9E-45B0-B078-5D91C4895B41}" name="Job Link" dataDxfId="17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07E7FA-1CBF-456D-A1F2-F46C8D6FB153}" name="Table2" displayName="Table2" ref="B1:D51" totalsRowShown="0" headerRowDxfId="16" dataDxfId="15">
  <autoFilter ref="B1:D51" xr:uid="{4007E7FA-1CBF-456D-A1F2-F46C8D6FB153}"/>
  <tableColumns count="3">
    <tableColumn id="7" xr3:uid="{02855BF1-F6C1-48C8-A723-E65B925C6120}" name="STT" dataDxfId="14"/>
    <tableColumn id="1" xr3:uid="{5ECA1F97-A267-4040-B95D-F921D3BC9373}" name="Kênh tuyển dụng" dataDxfId="13"/>
    <tableColumn id="6" xr3:uid="{6FE4B878-C706-414E-9D1A-D366DAD5B924}" name="Website tuyển dụng của doanh nghiệp" dataDxfId="12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EC13F-1AC4-4FEE-9D8D-237432FB6D5A}" name="Table1" displayName="Table1" ref="A1:J102" totalsRowShown="0" headerRowDxfId="11" dataDxfId="10">
  <autoFilter ref="A1:J102" xr:uid="{D99EC13F-1AC4-4FEE-9D8D-237432FB6D5A}">
    <filterColumn colId="7">
      <filters>
        <filter val="Việt Nam"/>
      </filters>
    </filterColumn>
    <filterColumn colId="8">
      <filters>
        <filter val="Đang tuyển"/>
      </filters>
    </filterColumn>
  </autoFilter>
  <tableColumns count="10">
    <tableColumn id="1" xr3:uid="{D631BD16-BE2F-4B6C-95D5-2A17257FCFD0}" name="STT" dataDxfId="9"/>
    <tableColumn id="9" xr3:uid="{7438D76A-9835-49B2-AEC0-4E50C3898914}" name="Nhóm nghiệp vụ và chứng chỉ" dataDxfId="8"/>
    <tableColumn id="2" xr3:uid="{EFF8605C-3E43-49B8-92B2-BD2E386A7C53}" name="Tên Công Việc" dataDxfId="7"/>
    <tableColumn id="3" xr3:uid="{929AB67A-F0B0-4F59-8B15-951C7A38E1A5}" name="Nhóm Ngành" dataDxfId="6"/>
    <tableColumn id="4" xr3:uid="{52EE4D80-BC8B-411F-9FDE-7F555A7C914E}" name="Chứng Chỉ Đề Cập" dataDxfId="5"/>
    <tableColumn id="5" xr3:uid="{72415F4A-6EDB-4BC9-850A-70F8ABBF2F2E}" name="Link JD" dataDxfId="4" dataCellStyle="Hyperlink"/>
    <tableColumn id="6" xr3:uid="{3CEE235E-C1F3-44FE-8E23-51A617C49B1F}" name="Loại" dataDxfId="3"/>
    <tableColumn id="8" xr3:uid="{E387A5A5-4FB9-4099-8783-CC1B0414EED9}" name="Phạm vi tuyển dụng" dataDxfId="2"/>
    <tableColumn id="10" xr3:uid="{861B822A-2283-4D77-B38A-078D0EC28637}" name="Tình trạng tuyển dụng" dataDxfId="1"/>
    <tableColumn id="7" xr3:uid="{F082CCDC-FE53-4B1E-B87B-9718F98CA39D}" name="Not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obs.smartrecruiters.com/BoschGroup/744000095558801--bd-senior-ai-engineer-data-scientist?trid=0637ed77-6797-4422-8726-17bb7307ecd0" TargetMode="External"/><Relationship Id="rId18" Type="http://schemas.openxmlformats.org/officeDocument/2006/relationships/hyperlink" Target="https://lifeattiktok.com/search/7574313690909280565" TargetMode="External"/><Relationship Id="rId26" Type="http://schemas.openxmlformats.org/officeDocument/2006/relationships/hyperlink" Target="https://zalo.careers/job/data-privacy-engineering-zalo-n-hlauL242BW--p2vf" TargetMode="External"/><Relationship Id="rId39" Type="http://schemas.openxmlformats.org/officeDocument/2006/relationships/hyperlink" Target="https://tuyendung.tpb.vn/vi/jobs/data-analyst--data-scientist-PA8cQhneYMDc9" TargetMode="External"/><Relationship Id="rId21" Type="http://schemas.openxmlformats.org/officeDocument/2006/relationships/hyperlink" Target="https://career.vng.com.vn/tim-kiem-viec-lam/chi-tiet/6341-senior-data-analyst-vnggames-vi" TargetMode="External"/><Relationship Id="rId34" Type="http://schemas.openxmlformats.org/officeDocument/2006/relationships/hyperlink" Target="https://be.com.vn/be_recruitment/senior-business-analyst/" TargetMode="External"/><Relationship Id="rId42" Type="http://schemas.openxmlformats.org/officeDocument/2006/relationships/hyperlink" Target="https://tuyendung.vnpay.vn/tuyen-dung/%5Bhcm%5D-data-scientist.html" TargetMode="External"/><Relationship Id="rId47" Type="http://schemas.openxmlformats.org/officeDocument/2006/relationships/hyperlink" Target="https://viettelpost.com.vn/tuyen_dung/business-analyst-2/" TargetMode="External"/><Relationship Id="rId50" Type="http://schemas.openxmlformats.org/officeDocument/2006/relationships/hyperlink" Target="https://talent.dnse.com.vn/co-hoi-viec-lam/data-engineer-crm" TargetMode="External"/><Relationship Id="rId7" Type="http://schemas.openxmlformats.org/officeDocument/2006/relationships/hyperlink" Target="https://payoo.vn/tuyen-dung/business-analyst.html" TargetMode="External"/><Relationship Id="rId2" Type="http://schemas.openxmlformats.org/officeDocument/2006/relationships/hyperlink" Target="https://jobs.smartrecruiters.com/BoschGroup/744000088990395--bosch-r-d-internship-data-engineer-intern?trid=0637ed77-6797-4422-8726-17bb7307ecd0" TargetMode="External"/><Relationship Id="rId16" Type="http://schemas.openxmlformats.org/officeDocument/2006/relationships/hyperlink" Target="https://www.pgcareers.com/sg/en/job/R000142944/E-commerce-Growth-Analysis-Manager" TargetMode="External"/><Relationship Id="rId29" Type="http://schemas.openxmlformats.org/officeDocument/2006/relationships/hyperlink" Target="https://trustingsocial.com/careers/openings/financial-data-analyst-681630" TargetMode="External"/><Relationship Id="rId11" Type="http://schemas.openxmlformats.org/officeDocument/2006/relationships/hyperlink" Target="https://careers.nashtechglobal.com/job/data-scientist-lead/" TargetMode="External"/><Relationship Id="rId24" Type="http://schemas.openxmlformats.org/officeDocument/2006/relationships/hyperlink" Target="https://zalo.careers/job/senior-data-engineer-data-platform-zalo-n-oIeJItWqBJo3BWzF" TargetMode="External"/><Relationship Id="rId32" Type="http://schemas.openxmlformats.org/officeDocument/2006/relationships/hyperlink" Target="https://jobs.smartrecruiters.com/BoschGroup/744000089387945--so-senior-data-analyst?trid=0637ed77-6797-4422-8726-17bb7307ecd0" TargetMode="External"/><Relationship Id="rId37" Type="http://schemas.openxmlformats.org/officeDocument/2006/relationships/hyperlink" Target="https://momo.careers/jobs/senior-lead-data-engineering-14230" TargetMode="External"/><Relationship Id="rId40" Type="http://schemas.openxmlformats.org/officeDocument/2006/relationships/hyperlink" Target="https://vn.joboko.com/viec-lam-data-analyst-e-commerce-xvi6102461?utm_campaign=google_jobs_apply&amp;utm_source=google_jobs_apply&amp;utm_medium=organic" TargetMode="External"/><Relationship Id="rId45" Type="http://schemas.openxmlformats.org/officeDocument/2006/relationships/hyperlink" Target="https://jobs.opencommercegroup.com/jobs/data-analyst-1/" TargetMode="External"/><Relationship Id="rId5" Type="http://schemas.openxmlformats.org/officeDocument/2006/relationships/hyperlink" Target="https://www.techcombankjobs.com/search/?createNewAlert=false&amp;q=data&amp;locationsearch=&amp;optionsFacetsDD_customfield1=&amp;optionsFacetsDD_department=&amp;optionsFacetsDD_shifttype=&amp;optionsFacetsDD_facility=" TargetMode="External"/><Relationship Id="rId15" Type="http://schemas.openxmlformats.org/officeDocument/2006/relationships/hyperlink" Target="https://www.pgcareers.com/sg/en/job/R000140225/P-G-LEAD-GEN-HR-Analytics-Intern" TargetMode="External"/><Relationship Id="rId23" Type="http://schemas.openxmlformats.org/officeDocument/2006/relationships/hyperlink" Target="https://zalo.careers/job/lead-senior-data-analyst-zalo-n-j9oZ6wpukJGgL2yV" TargetMode="External"/><Relationship Id="rId28" Type="http://schemas.openxmlformats.org/officeDocument/2006/relationships/hyperlink" Target="https://trustingsocial.com/careers/openings/product-data-analyst-682669" TargetMode="External"/><Relationship Id="rId36" Type="http://schemas.openxmlformats.org/officeDocument/2006/relationships/hyperlink" Target="https://momo.careers/jobs/senior-data-analyst-financial-services-13970" TargetMode="External"/><Relationship Id="rId49" Type="http://schemas.openxmlformats.org/officeDocument/2006/relationships/hyperlink" Target="https://vn.joboko.com/viec-lam-data-engineer-sql-aws-oracle-xvi6221432?utm_campaign=google_jobs_apply&amp;utm_source=google_jobs_apply&amp;utm_medium=organic" TargetMode="External"/><Relationship Id="rId10" Type="http://schemas.openxmlformats.org/officeDocument/2006/relationships/hyperlink" Target="https://tuyendung.vpbank.com.vn/jobs/data-analyst" TargetMode="External"/><Relationship Id="rId19" Type="http://schemas.openxmlformats.org/officeDocument/2006/relationships/hyperlink" Target="https://career.vng.com.vn/tim-kiem-viec-lam/chi-tiet/6384-data-analyst-vnggames-vi" TargetMode="External"/><Relationship Id="rId31" Type="http://schemas.openxmlformats.org/officeDocument/2006/relationships/hyperlink" Target="https://www.geocomply.com/careers/all-jobs/ho-chi-minh-senior-data-analyst-antispoofing-operation/" TargetMode="External"/><Relationship Id="rId44" Type="http://schemas.openxmlformats.org/officeDocument/2006/relationships/hyperlink" Target="https://crossian.com/careers/37867/Senior-Data-Analyst-Data-AI-Team-Global-eCommerce-Platform-Total-Annual-Compensation-upto-80000-Negotiate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www.pwc.com/vn/en/careers/campus-careers.html" TargetMode="External"/><Relationship Id="rId9" Type="http://schemas.openxmlformats.org/officeDocument/2006/relationships/hyperlink" Target="https://www.geocomply.com/careers/all-jobs/ho-chi-minh-data-engineer/" TargetMode="External"/><Relationship Id="rId14" Type="http://schemas.openxmlformats.org/officeDocument/2006/relationships/hyperlink" Target="https://careers.shopee.vn/jobs?dept_id=3" TargetMode="External"/><Relationship Id="rId22" Type="http://schemas.openxmlformats.org/officeDocument/2006/relationships/hyperlink" Target="https://career.vng.com.vn/tim-kiem-viec-lam/chi-tiet/6096-associate-data-engineering-manager-vi" TargetMode="External"/><Relationship Id="rId27" Type="http://schemas.openxmlformats.org/officeDocument/2006/relationships/hyperlink" Target="https://jobs.standardchartered.com/job/Senior-Analyst%2C-Retail-Analytics/44650-en_GB?&amp;feedid=363857" TargetMode="External"/><Relationship Id="rId30" Type="http://schemas.openxmlformats.org/officeDocument/2006/relationships/hyperlink" Target="https://www.geocomply.com/careers/all-jobs/ho-chi-minh-senior-data-analyst-powerbi/" TargetMode="External"/><Relationship Id="rId35" Type="http://schemas.openxmlformats.org/officeDocument/2006/relationships/hyperlink" Target="https://momo.careers/jobs/senior-lead-data-analytics-13969" TargetMode="External"/><Relationship Id="rId43" Type="http://schemas.openxmlformats.org/officeDocument/2006/relationships/hyperlink" Target="https://tuyendung.vnpay.vn/tuyen-dung/data-scientist.html" TargetMode="External"/><Relationship Id="rId48" Type="http://schemas.openxmlformats.org/officeDocument/2006/relationships/hyperlink" Target="https://www.hitachids.com/vn-english/careers/job-details/?jid=8051864002&amp;gh_jid=8051864002" TargetMode="External"/><Relationship Id="rId8" Type="http://schemas.openxmlformats.org/officeDocument/2006/relationships/hyperlink" Target="https://trustingsocial.com/careers/openings/senior-data-analyst-682739" TargetMode="External"/><Relationship Id="rId51" Type="http://schemas.openxmlformats.org/officeDocument/2006/relationships/hyperlink" Target="https://talent.dnse.com.vn/co-hoi-viec-lam/business-analyst-crm-2025" TargetMode="External"/><Relationship Id="rId3" Type="http://schemas.openxmlformats.org/officeDocument/2006/relationships/hyperlink" Target="https://jobs.smartrecruiters.com/BoschGroup/744000099493765--internship-data-analyst-intern-supply-chain-domain-?trid=0637ed77-6797-4422-8726-17bb7307ecd0" TargetMode="External"/><Relationship Id="rId12" Type="http://schemas.openxmlformats.org/officeDocument/2006/relationships/hyperlink" Target="https://www.careers.axonactive.com/post/data-engineer" TargetMode="External"/><Relationship Id="rId17" Type="http://schemas.openxmlformats.org/officeDocument/2006/relationships/hyperlink" Target="https://pizza4ps.com/vn/career_findjobs_post/?job_id=42329&amp;job_name=%5bHCM%5d%20Data%20Analyst" TargetMode="External"/><Relationship Id="rId25" Type="http://schemas.openxmlformats.org/officeDocument/2006/relationships/hyperlink" Target="https://zalo.careers/job/senior-lead-data-engineer-zalo-n-2VerDcX5t3nJZzyw" TargetMode="External"/><Relationship Id="rId33" Type="http://schemas.openxmlformats.org/officeDocument/2006/relationships/hyperlink" Target="https://jobs.smartrecruiters.com/BoschGroup/744000099470655--ctg-financial-data-analyst-intern?trid=0637ed77-6797-4422-8726-17bb7307ecd0" TargetMode="External"/><Relationship Id="rId38" Type="http://schemas.openxmlformats.org/officeDocument/2006/relationships/hyperlink" Target="https://careersdecathlonvn.com/en/recruitments/690c7fee9cad8852eadacbde?type_child=type3" TargetMode="External"/><Relationship Id="rId46" Type="http://schemas.openxmlformats.org/officeDocument/2006/relationships/hyperlink" Target="https://viettelpost.com.vn/tuyen_dung/data-analyst/" TargetMode="External"/><Relationship Id="rId20" Type="http://schemas.openxmlformats.org/officeDocument/2006/relationships/hyperlink" Target="https://career.vng.com.vn/tim-kiem-viec-lam/chi-tiet/6380-data-engineer-vi" TargetMode="External"/><Relationship Id="rId41" Type="http://schemas.openxmlformats.org/officeDocument/2006/relationships/hyperlink" Target="https://www.topcv.vn/viec-lam/chuyen-vien-phan-tich-du-lieu-kinh-doanh-data-analyst-yeu-cau-co-kinh-nghiem-nganh-fmcg/1878777.html?utm_campaign=google_jobs_apply&amp;utm_source=google_jobs_apply&amp;utm_medium=organic" TargetMode="External"/><Relationship Id="rId1" Type="http://schemas.openxmlformats.org/officeDocument/2006/relationships/hyperlink" Target="https://careers.shopee.vn/jobs?dept_id=3" TargetMode="External"/><Relationship Id="rId6" Type="http://schemas.openxmlformats.org/officeDocument/2006/relationships/hyperlink" Target="https://careers.mbbank.com.vn/list-of-posts/detail-list-of-posts?id=68a44602e6f0214b0810615d&amp;workGroupId=11267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uyendung.vietcombank.com.vn/" TargetMode="External"/><Relationship Id="rId18" Type="http://schemas.openxmlformats.org/officeDocument/2006/relationships/hyperlink" Target="https://careers.dhl.com/apac/en/search-results?keywords=&amp;p=ChIJXx5qc016FTERvmL-4smwO7A&amp;location=Vietnam" TargetMode="External"/><Relationship Id="rId26" Type="http://schemas.openxmlformats.org/officeDocument/2006/relationships/hyperlink" Target="https://careers.kms-technology.com/" TargetMode="External"/><Relationship Id="rId39" Type="http://schemas.openxmlformats.org/officeDocument/2006/relationships/hyperlink" Target="https://topdev.vn" TargetMode="External"/><Relationship Id="rId21" Type="http://schemas.openxmlformats.org/officeDocument/2006/relationships/hyperlink" Target="https://tuyendung.vnpay.vn/" TargetMode="External"/><Relationship Id="rId34" Type="http://schemas.openxmlformats.org/officeDocument/2006/relationships/hyperlink" Target="https://ghtk.vn/tuyen-dung/tim-kiem/" TargetMode="External"/><Relationship Id="rId42" Type="http://schemas.openxmlformats.org/officeDocument/2006/relationships/hyperlink" Target="https://www.careerlink.vn" TargetMode="External"/><Relationship Id="rId47" Type="http://schemas.openxmlformats.org/officeDocument/2006/relationships/hyperlink" Target="https://vn.indeed.com" TargetMode="External"/><Relationship Id="rId50" Type="http://schemas.openxmlformats.org/officeDocument/2006/relationships/hyperlink" Target="https://www.upwork.com" TargetMode="External"/><Relationship Id="rId7" Type="http://schemas.openxmlformats.org/officeDocument/2006/relationships/hyperlink" Target="https://jobs.sea.deloitte.com/search/?createNewAlert=false&amp;q=&amp;locationsearch=VN&amp;optionsFacetsDD_country=&amp;optionsFacetsDD_customfield2=&amp;optionsFacetsDD_dept=" TargetMode="External"/><Relationship Id="rId2" Type="http://schemas.openxmlformats.org/officeDocument/2006/relationships/hyperlink" Target="https://careers.unilever.com/en/search-jobs/Vietnam/34155/2/1562822/16x16667/107x83333/100/2" TargetMode="External"/><Relationship Id="rId16" Type="http://schemas.openxmlformats.org/officeDocument/2006/relationships/hyperlink" Target="https://careers.smartrecruiters.com/BoschGroup/vietnam" TargetMode="External"/><Relationship Id="rId29" Type="http://schemas.openxmlformats.org/officeDocument/2006/relationships/hyperlink" Target="https://trustingsocial.com/careers/" TargetMode="External"/><Relationship Id="rId11" Type="http://schemas.openxmlformats.org/officeDocument/2006/relationships/hyperlink" Target="https://www.techcombankjobs.com/search/?createNewAlert=false&amp;q=&amp;locationsearch=&amp;optionsFacetsDD_customfield1=&amp;optionsFacetsDD_department=&amp;optionsFacetsDD_shifttype=&amp;optionsFacetsDD_facility=" TargetMode="External"/><Relationship Id="rId24" Type="http://schemas.openxmlformats.org/officeDocument/2006/relationships/hyperlink" Target="https://careers.nashtechglobal.com/" TargetMode="External"/><Relationship Id="rId32" Type="http://schemas.openxmlformats.org/officeDocument/2006/relationships/hyperlink" Target="https://reliasoftware.com/careers" TargetMode="External"/><Relationship Id="rId37" Type="http://schemas.openxmlformats.org/officeDocument/2006/relationships/hyperlink" Target="https://careerviet.vn/" TargetMode="External"/><Relationship Id="rId40" Type="http://schemas.openxmlformats.org/officeDocument/2006/relationships/hyperlink" Target="https://mywork.com.vn" TargetMode="External"/><Relationship Id="rId45" Type="http://schemas.openxmlformats.org/officeDocument/2006/relationships/hyperlink" Target="https://ybox.vn" TargetMode="External"/><Relationship Id="rId5" Type="http://schemas.openxmlformats.org/officeDocument/2006/relationships/hyperlink" Target="https://www.google.com/about/careers/applications/jobs/results/?q=&amp;location=Vietnam&amp;hl=en-US" TargetMode="External"/><Relationship Id="rId15" Type="http://schemas.openxmlformats.org/officeDocument/2006/relationships/hyperlink" Target="https://www.sc.com/en/global-careers/" TargetMode="External"/><Relationship Id="rId23" Type="http://schemas.openxmlformats.org/officeDocument/2006/relationships/hyperlink" Target="https://lifeattiktok.com/" TargetMode="External"/><Relationship Id="rId28" Type="http://schemas.openxmlformats.org/officeDocument/2006/relationships/hyperlink" Target="https://kyanon.digital/careers/job-listing/" TargetMode="External"/><Relationship Id="rId36" Type="http://schemas.openxmlformats.org/officeDocument/2006/relationships/hyperlink" Target="https://www.topcv.vn" TargetMode="External"/><Relationship Id="rId49" Type="http://schemas.openxmlformats.org/officeDocument/2006/relationships/hyperlink" Target="https://www.linkedin.com/jobs" TargetMode="External"/><Relationship Id="rId10" Type="http://schemas.openxmlformats.org/officeDocument/2006/relationships/hyperlink" Target="https://kpmg.com/vn/en/home/careers.html" TargetMode="External"/><Relationship Id="rId19" Type="http://schemas.openxmlformats.org/officeDocument/2006/relationships/hyperlink" Target="https://www.maersk.com/careers/vacancies?searchText=&amp;city=Vietnam" TargetMode="External"/><Relationship Id="rId31" Type="http://schemas.openxmlformats.org/officeDocument/2006/relationships/hyperlink" Target="https://goldenowl.asia/careers" TargetMode="External"/><Relationship Id="rId44" Type="http://schemas.openxmlformats.org/officeDocument/2006/relationships/hyperlink" Target="https://jobsgo.vn" TargetMode="External"/><Relationship Id="rId4" Type="http://schemas.openxmlformats.org/officeDocument/2006/relationships/hyperlink" Target="https://www.nestle.com/jobs/search-jobs?keyword=&amp;country=VN" TargetMode="External"/><Relationship Id="rId9" Type="http://schemas.openxmlformats.org/officeDocument/2006/relationships/hyperlink" Target="https://www.ey.com/en_gl/careers" TargetMode="External"/><Relationship Id="rId14" Type="http://schemas.openxmlformats.org/officeDocument/2006/relationships/hyperlink" Target="https://tuyendung.vietinbank.vn/tuyendung/trang-chu" TargetMode="External"/><Relationship Id="rId22" Type="http://schemas.openxmlformats.org/officeDocument/2006/relationships/hyperlink" Target="https://momo.careers/jobs" TargetMode="External"/><Relationship Id="rId27" Type="http://schemas.openxmlformats.org/officeDocument/2006/relationships/hyperlink" Target="https://www.orientsoftware.com/careers" TargetMode="External"/><Relationship Id="rId30" Type="http://schemas.openxmlformats.org/officeDocument/2006/relationships/hyperlink" Target="https://ahamove.com/job?page=1" TargetMode="External"/><Relationship Id="rId35" Type="http://schemas.openxmlformats.org/officeDocument/2006/relationships/hyperlink" Target="https://www.vietnamworks.com" TargetMode="External"/><Relationship Id="rId43" Type="http://schemas.openxmlformats.org/officeDocument/2006/relationships/hyperlink" Target="https://www.jobstreet.vn" TargetMode="External"/><Relationship Id="rId48" Type="http://schemas.openxmlformats.org/officeDocument/2006/relationships/hyperlink" Target="https://glints.com/vn" TargetMode="External"/><Relationship Id="rId8" Type="http://schemas.openxmlformats.org/officeDocument/2006/relationships/hyperlink" Target="https://www.pwc.com/vn/vn/careers.html" TargetMode="External"/><Relationship Id="rId51" Type="http://schemas.openxmlformats.org/officeDocument/2006/relationships/table" Target="../tables/table2.xml"/><Relationship Id="rId3" Type="http://schemas.openxmlformats.org/officeDocument/2006/relationships/hyperlink" Target="https://www.pgcareers.com/sg/en/search-results?keywords=&amp;p=ChIJXx5qc016FTERvmL-4smwO7A&amp;location=Vietnam" TargetMode="External"/><Relationship Id="rId12" Type="http://schemas.openxmlformats.org/officeDocument/2006/relationships/hyperlink" Target="https://tuyendung.bidv.com.vn/" TargetMode="External"/><Relationship Id="rId17" Type="http://schemas.openxmlformats.org/officeDocument/2006/relationships/hyperlink" Target="https://jobs.siemens.com/en_US/externaljobs/SearchJobs/?42414=%5B812066%5D&amp;42414_format=17570&amp;listFilterMode=1&amp;folderRecordsPerPage=6" TargetMode="External"/><Relationship Id="rId25" Type="http://schemas.openxmlformats.org/officeDocument/2006/relationships/hyperlink" Target="https://www.careers.axonactive.com/" TargetMode="External"/><Relationship Id="rId33" Type="http://schemas.openxmlformats.org/officeDocument/2006/relationships/hyperlink" Target="https://www.sotatek.com/careers/" TargetMode="External"/><Relationship Id="rId38" Type="http://schemas.openxmlformats.org/officeDocument/2006/relationships/hyperlink" Target="https://itviec.com" TargetMode="External"/><Relationship Id="rId46" Type="http://schemas.openxmlformats.org/officeDocument/2006/relationships/hyperlink" Target="https://nhanlucit.com" TargetMode="External"/><Relationship Id="rId20" Type="http://schemas.openxmlformats.org/officeDocument/2006/relationships/hyperlink" Target="https://career.vng.com.vn/" TargetMode="External"/><Relationship Id="rId41" Type="http://schemas.openxmlformats.org/officeDocument/2006/relationships/hyperlink" Target="https://vieclam24h.vn" TargetMode="External"/><Relationship Id="rId1" Type="http://schemas.openxmlformats.org/officeDocument/2006/relationships/hyperlink" Target="https://datapot.vn/category/tin-tuc/tuyen-dung/" TargetMode="External"/><Relationship Id="rId6" Type="http://schemas.openxmlformats.org/officeDocument/2006/relationships/hyperlink" Target="https://www.ibm.com/careers/search?field_keyword_05%5b0%5d=Vietna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vn.joboko.com/viec-lam-mid-sr-system-administrator-infrastructure-security-xvi5876215" TargetMode="External"/><Relationship Id="rId21" Type="http://schemas.openxmlformats.org/officeDocument/2006/relationships/hyperlink" Target="https://vn.joboko.com/viec-lam-system-engineer-247-xvi6195077" TargetMode="External"/><Relationship Id="rId42" Type="http://schemas.openxmlformats.org/officeDocument/2006/relationships/hyperlink" Target="https://boards.greenhouse.io/cybersheath/jobs/5026008008" TargetMode="External"/><Relationship Id="rId47" Type="http://schemas.openxmlformats.org/officeDocument/2006/relationships/hyperlink" Target="https://job-boards.greenhouse.io/lumenbioscience/jobs/4068690009" TargetMode="External"/><Relationship Id="rId63" Type="http://schemas.openxmlformats.org/officeDocument/2006/relationships/hyperlink" Target="https://jobs.lever.co/atmosera/774855a3-ff79-4c56-a8ca-a00856941e49" TargetMode="External"/><Relationship Id="rId68" Type="http://schemas.openxmlformats.org/officeDocument/2006/relationships/hyperlink" Target="https://jobs.smartrecruiters.com/Sia/744000097463505-data-analyst" TargetMode="External"/><Relationship Id="rId84" Type="http://schemas.openxmlformats.org/officeDocument/2006/relationships/hyperlink" Target="https://nyuhs.wd12.myworkdayjobs.com/en-US/nyuhscareers1/job/Microsoft-M365-and-Azure-Solutions-Architect_R0000008845" TargetMode="External"/><Relationship Id="rId89" Type="http://schemas.openxmlformats.org/officeDocument/2006/relationships/hyperlink" Target="https://careers-decisionpointcorp.icims.com/jobs/2968/zero-trust-security-engineer---sme/job" TargetMode="External"/><Relationship Id="rId16" Type="http://schemas.openxmlformats.org/officeDocument/2006/relationships/hyperlink" Target="https://www.topcv.vn/viec-lam/cloud-operation-engineer-aws-gcp-azure/1756579.html" TargetMode="External"/><Relationship Id="rId11" Type="http://schemas.openxmlformats.org/officeDocument/2006/relationships/hyperlink" Target="https://itviec.com/viec-lam-it/cloud-engineer-aws-azure-fpt-is-1510?lab_feature=employer_job" TargetMode="External"/><Relationship Id="rId32" Type="http://schemas.openxmlformats.org/officeDocument/2006/relationships/hyperlink" Target="https://www.topcv.vn/viec-lam/solution-architect-microsoft-security/1771716.html" TargetMode="External"/><Relationship Id="rId37" Type="http://schemas.openxmlformats.org/officeDocument/2006/relationships/hyperlink" Target="https://vn.joboko.com/viec-lam-it-staff-devops-engineer-automotive-digital-transformation-xvi5877247" TargetMode="External"/><Relationship Id="rId53" Type="http://schemas.openxmlformats.org/officeDocument/2006/relationships/hyperlink" Target="https://job-boards.greenhouse.io/shipbobinc/jobs/4609661005" TargetMode="External"/><Relationship Id="rId58" Type="http://schemas.openxmlformats.org/officeDocument/2006/relationships/hyperlink" Target="https://jobs.lever.co/wellfit/df5db14b-60c2-4c0b-bb80-a8fcf734e2ce" TargetMode="External"/><Relationship Id="rId74" Type="http://schemas.openxmlformats.org/officeDocument/2006/relationships/hyperlink" Target="https://jobs.smartrecruiters.com/FusionConsulting/744000098724525-it-m365-administrator-support-m-f-d-" TargetMode="External"/><Relationship Id="rId79" Type="http://schemas.openxmlformats.org/officeDocument/2006/relationships/hyperlink" Target="https://jobs.smartrecruiters.com/DreesSommerSE/744000097273985-incident-coordinator-threat-hunting-engineer" TargetMode="External"/><Relationship Id="rId5" Type="http://schemas.openxmlformats.org/officeDocument/2006/relationships/hyperlink" Target="https://www.topcv.vn/viec-lam/cloud-engineer-azure/327011.html" TargetMode="External"/><Relationship Id="rId90" Type="http://schemas.openxmlformats.org/officeDocument/2006/relationships/hyperlink" Target="https://dtalent.dev/jobs/job-details/992-SIEM-Operations-Specialist" TargetMode="External"/><Relationship Id="rId95" Type="http://schemas.openxmlformats.org/officeDocument/2006/relationships/hyperlink" Target="https://www.linkedin.com/jobs/view/devops-engineer-at-ingram-barge-company-4348575877/?skipRedirect=true" TargetMode="External"/><Relationship Id="rId22" Type="http://schemas.openxmlformats.org/officeDocument/2006/relationships/hyperlink" Target="https://vn.joboko.com/viec-lam-ky-su-he-thong-exchange-ad-xvi6154419?amp=1" TargetMode="External"/><Relationship Id="rId27" Type="http://schemas.openxmlformats.org/officeDocument/2006/relationships/hyperlink" Target="https://vn.joboko.com/viec-lam-senior-engineer-o365-messaging-collaboration-ha-noi-ta174-xvi6125068" TargetMode="External"/><Relationship Id="rId43" Type="http://schemas.openxmlformats.org/officeDocument/2006/relationships/hyperlink" Target="https://job-boards.greenhouse.io/3cloud/jobs/8230224002" TargetMode="External"/><Relationship Id="rId48" Type="http://schemas.openxmlformats.org/officeDocument/2006/relationships/hyperlink" Target="https://job-boards.greenhouse.io/lightspeeddms/jobs/4970376008" TargetMode="External"/><Relationship Id="rId64" Type="http://schemas.openxmlformats.org/officeDocument/2006/relationships/hyperlink" Target="https://jobs.lever.co/brillio-2/4e30182b-0421-4ea1-926c-17db1c72ac82" TargetMode="External"/><Relationship Id="rId69" Type="http://schemas.openxmlformats.org/officeDocument/2006/relationships/hyperlink" Target="https://jobs.smartrecruiters.com/Insightsoftware/744000093999402-ps-consultant-junior-power-on-functional-consultant" TargetMode="External"/><Relationship Id="rId80" Type="http://schemas.openxmlformats.org/officeDocument/2006/relationships/hyperlink" Target="https://chevron.wd5.myworkdayjobs.com/en-US/jobs/job/Data-Analyst_R000067673" TargetMode="External"/><Relationship Id="rId85" Type="http://schemas.openxmlformats.org/officeDocument/2006/relationships/hyperlink" Target="https://pwc.wd3.myworkdayjobs.com/en-US/Global_Experienced_Careers/job/ETIC--Cyber-Security--Cloud-Security-Engineer-Senior-Associate_670876WD" TargetMode="External"/><Relationship Id="rId12" Type="http://schemas.openxmlformats.org/officeDocument/2006/relationships/hyperlink" Target="https://abbank.vn/tuyen-dung/ha-noi-chuyen-vien-cao-cap-chuyen-gia-quan-tri-he-thong" TargetMode="External"/><Relationship Id="rId17" Type="http://schemas.openxmlformats.org/officeDocument/2006/relationships/hyperlink" Target="https://careerbuilder.vn/vi/tim-viec-lam/chuyen-vien-van-hanh-cloud-level-1-cloud-operation-engineer-aws-gcp-azure.35BA5379.html" TargetMode="External"/><Relationship Id="rId25" Type="http://schemas.openxmlformats.org/officeDocument/2006/relationships/hyperlink" Target="https://vn.joboko.com/viec-lam-it-server-administration-window-xvi5933540" TargetMode="External"/><Relationship Id="rId33" Type="http://schemas.openxmlformats.org/officeDocument/2006/relationships/hyperlink" Target="https://vn.joboko.com/viec-lam-hcm-solution-architect-microsoft-security-xvi5861070" TargetMode="External"/><Relationship Id="rId38" Type="http://schemas.openxmlformats.org/officeDocument/2006/relationships/hyperlink" Target="https://vn.joboko.com/viec-lam-lead-data-engineer-leadership-python-sql-xvi6205596" TargetMode="External"/><Relationship Id="rId46" Type="http://schemas.openxmlformats.org/officeDocument/2006/relationships/hyperlink" Target="https://job-boards.greenhouse.io/quadbridge/jobs/4064568009" TargetMode="External"/><Relationship Id="rId59" Type="http://schemas.openxmlformats.org/officeDocument/2006/relationships/hyperlink" Target="https://jobs.lever.co/protective/c569860e-bb0a-4c86-9b5b-65660e458622" TargetMode="External"/><Relationship Id="rId67" Type="http://schemas.openxmlformats.org/officeDocument/2006/relationships/hyperlink" Target="https://jobs.smartrecruiters.com/Continental/744000098633774-data-visualization-analyst" TargetMode="External"/><Relationship Id="rId20" Type="http://schemas.openxmlformats.org/officeDocument/2006/relationships/hyperlink" Target="https://vn.joboko.com/viec-lam-ai-developer-xvi6092679" TargetMode="External"/><Relationship Id="rId41" Type="http://schemas.openxmlformats.org/officeDocument/2006/relationships/hyperlink" Target="https://job-boards.greenhouse.io/correlationone/jobs/5726262004" TargetMode="External"/><Relationship Id="rId54" Type="http://schemas.openxmlformats.org/officeDocument/2006/relationships/hyperlink" Target="https://job-boards.greenhouse.io/medicusit/jobs/7512125003" TargetMode="External"/><Relationship Id="rId62" Type="http://schemas.openxmlformats.org/officeDocument/2006/relationships/hyperlink" Target="https://jobs.lever.co/rackspace/2abe0983-e11c-40d4-bcd4-3fcbc491ddfe" TargetMode="External"/><Relationship Id="rId70" Type="http://schemas.openxmlformats.org/officeDocument/2006/relationships/hyperlink" Target="https://jobs.smartrecruiters.com/Devoteam/744000048374275-azure-cloud-security-engineer" TargetMode="External"/><Relationship Id="rId75" Type="http://schemas.openxmlformats.org/officeDocument/2006/relationships/hyperlink" Target="https://jobs.smartrecruiters.com/Swissquote/744000082387506-systems-engineer-m365-on-premise" TargetMode="External"/><Relationship Id="rId83" Type="http://schemas.openxmlformats.org/officeDocument/2006/relationships/hyperlink" Target="https://schoolsfirstfcu.wd5.myworkdayjobs.com/careers/job/tustin-ca/microsoft-365---azure-platform-engineer--systems-engineer-_jr104979" TargetMode="External"/><Relationship Id="rId88" Type="http://schemas.openxmlformats.org/officeDocument/2006/relationships/hyperlink" Target="https://careers-edgewaterit.icims.com/jobs/4041/2025-4041/job" TargetMode="External"/><Relationship Id="rId91" Type="http://schemas.openxmlformats.org/officeDocument/2006/relationships/hyperlink" Target="https://www.linkedin.com/jobs/view/power-bi-sharepoint-developer-at-jobgether-4339393561/?skipRedirect=true" TargetMode="External"/><Relationship Id="rId96" Type="http://schemas.openxmlformats.org/officeDocument/2006/relationships/hyperlink" Target="https://www.glassdoor.co.uk/job-listing/data-analyst-cumming-group-JV_IC3316792_KO0,12_KE13,26.htm?jl=1009919423717" TargetMode="External"/><Relationship Id="rId1" Type="http://schemas.openxmlformats.org/officeDocument/2006/relationships/hyperlink" Target="https://www.monster.com.vn/job/powerapp-developer-code-leap-ho-chi-minh-39470718" TargetMode="External"/><Relationship Id="rId6" Type="http://schemas.openxmlformats.org/officeDocument/2006/relationships/hyperlink" Target="https://www.topcv.vn/viec-lam/power-bi-specialist/506684.html" TargetMode="External"/><Relationship Id="rId15" Type="http://schemas.openxmlformats.org/officeDocument/2006/relationships/hyperlink" Target="https://cmctelecom.vn/recruit/chuyen-vien-van-hanh-cloud-cap-1-cloud-engineer/" TargetMode="External"/><Relationship Id="rId23" Type="http://schemas.openxmlformats.org/officeDocument/2006/relationships/hyperlink" Target="https://vn.joboko.com/viec-lam-chuyen-vien-van-hanh-cloud-cloud-engineer-xvi6137408" TargetMode="External"/><Relationship Id="rId28" Type="http://schemas.openxmlformats.org/officeDocument/2006/relationships/hyperlink" Target="https://vn.joboko.com/viec-lam-chuyen-vien-quan-tri-ung-dung-ha-tang-doanh-nghiep-k-cntt-xvi5967303" TargetMode="External"/><Relationship Id="rId36" Type="http://schemas.openxmlformats.org/officeDocument/2006/relationships/hyperlink" Target="https://vn.joboko.com/viec-lam-remote-hybrid-senior-devops-engineer-azure-xvi6154403" TargetMode="External"/><Relationship Id="rId49" Type="http://schemas.openxmlformats.org/officeDocument/2006/relationships/hyperlink" Target="https://job-boards.greenhouse.io/3cloud/jobs/8115592002" TargetMode="External"/><Relationship Id="rId57" Type="http://schemas.openxmlformats.org/officeDocument/2006/relationships/hyperlink" Target="https://jobs.lever.co/atmosera/7b3d5607-808a-4298-948f-692c1cf8a3f0" TargetMode="External"/><Relationship Id="rId10" Type="http://schemas.openxmlformats.org/officeDocument/2006/relationships/hyperlink" Target="https://vn.indeed.com/q-microsoft-azure-vi%E1%BB%87c-l%C3%A0m.html?vjk=b42dfe56bebdc114" TargetMode="External"/><Relationship Id="rId31" Type="http://schemas.openxmlformats.org/officeDocument/2006/relationships/hyperlink" Target="https://vn.joboko.com/viec-lam-security-administrator-xvi6125015" TargetMode="External"/><Relationship Id="rId44" Type="http://schemas.openxmlformats.org/officeDocument/2006/relationships/hyperlink" Target="https://boards.greenhouse.io/enavate/jobs/8107883002" TargetMode="External"/><Relationship Id="rId52" Type="http://schemas.openxmlformats.org/officeDocument/2006/relationships/hyperlink" Target="https://job-boards.greenhouse.io/alteradigitalhealthindia/jobs/4858299007" TargetMode="External"/><Relationship Id="rId60" Type="http://schemas.openxmlformats.org/officeDocument/2006/relationships/hyperlink" Target="https://jobs.lever.co/reply/f3ea590f-b58a-420b-ab3f-35cc1f08f9a9" TargetMode="External"/><Relationship Id="rId65" Type="http://schemas.openxmlformats.org/officeDocument/2006/relationships/hyperlink" Target="https://jobs.lever.co/freedompay/346770dc-ea8d-413b-b0a9-154c94d8f25e" TargetMode="External"/><Relationship Id="rId73" Type="http://schemas.openxmlformats.org/officeDocument/2006/relationships/hyperlink" Target="https://jobs.smartrecruiters.com/Tietoevry1/744000097015491-system-administrator-microsoft-365-specialist-tietoevry-create-m-f-d-" TargetMode="External"/><Relationship Id="rId78" Type="http://schemas.openxmlformats.org/officeDocument/2006/relationships/hyperlink" Target="https://jobs.smartrecruiters.com/SopraSteria1/744000098322115-windows-engineer" TargetMode="External"/><Relationship Id="rId81" Type="http://schemas.openxmlformats.org/officeDocument/2006/relationships/hyperlink" Target="https://sandvik.wd3.myworkdayjobs.com/en-US/coromant-jobs/job/Senior-Developer---Power-BI---Analytics_R0086181" TargetMode="External"/><Relationship Id="rId86" Type="http://schemas.openxmlformats.org/officeDocument/2006/relationships/hyperlink" Target="https://careers-morganplc.icims.com/jobs/6062/power-bi-developer/job" TargetMode="External"/><Relationship Id="rId94" Type="http://schemas.openxmlformats.org/officeDocument/2006/relationships/hyperlink" Target="https://www.foundit.in/job/azure-migration-and-devops-consultant-robert-bosch-india-39261046" TargetMode="External"/><Relationship Id="rId99" Type="http://schemas.openxmlformats.org/officeDocument/2006/relationships/hyperlink" Target="https://ph.jobstreet.com/job/88775729" TargetMode="External"/><Relationship Id="rId101" Type="http://schemas.openxmlformats.org/officeDocument/2006/relationships/table" Target="../tables/table3.xml"/><Relationship Id="rId4" Type="http://schemas.openxmlformats.org/officeDocument/2006/relationships/hyperlink" Target="https://www.topcv.vn/viec-lam/chuyen-vien-data-analyst-power-bi-specialist/1438417.html" TargetMode="External"/><Relationship Id="rId9" Type="http://schemas.openxmlformats.org/officeDocument/2006/relationships/hyperlink" Target="https://www.topcv.vn/viec-lam/solution-architect-microsoft-security/1771716.html" TargetMode="External"/><Relationship Id="rId13" Type="http://schemas.openxmlformats.org/officeDocument/2006/relationships/hyperlink" Target="https://vn.joboko.com/viec-lam-chuyen-vien-quan-ly-va-khai-thac-du-lieu-xvi5867402" TargetMode="External"/><Relationship Id="rId18" Type="http://schemas.openxmlformats.org/officeDocument/2006/relationships/hyperlink" Target="https://fptjobs.com/tuyen-dung-old/pre-sales-giai-phap-vien-thong-ms-azure-23417" TargetMode="External"/><Relationship Id="rId39" Type="http://schemas.openxmlformats.org/officeDocument/2006/relationships/hyperlink" Target="https://vn.joboko.com/viec-lam-senior-devops-engineer-1-year-contractor-xvi6112507" TargetMode="External"/><Relationship Id="rId34" Type="http://schemas.openxmlformats.org/officeDocument/2006/relationships/hyperlink" Target="https://recland.co/job/chuyen-vien-van-hanh-he-thong-siem-eAU5NHjY" TargetMode="External"/><Relationship Id="rId50" Type="http://schemas.openxmlformats.org/officeDocument/2006/relationships/hyperlink" Target="https://job-boards.greenhouse.io/dyopath/jobs/4623643006" TargetMode="External"/><Relationship Id="rId55" Type="http://schemas.openxmlformats.org/officeDocument/2006/relationships/hyperlink" Target="https://jobs.lever.co/planettechnologies/1f7796a9-ba52-44e7-a527-3ef54fd37fad" TargetMode="External"/><Relationship Id="rId76" Type="http://schemas.openxmlformats.org/officeDocument/2006/relationships/hyperlink" Target="https://jobs.smartrecruiters.com/MUFGInvestorServices/744000094461445-senior-associate-it-azure-administrator" TargetMode="External"/><Relationship Id="rId97" Type="http://schemas.openxmlformats.org/officeDocument/2006/relationships/hyperlink" Target="https://www.linkedin.com/jobs/view/m365-solutions-architect-at-sj-group-4258296326/?skipRedirect=true&amp;originalSubdomain=sg" TargetMode="External"/><Relationship Id="rId7" Type="http://schemas.openxmlformats.org/officeDocument/2006/relationships/hyperlink" Target="https://www.topcv.vn/viec-lam/microsoft-365-engineer/1616483.html" TargetMode="External"/><Relationship Id="rId71" Type="http://schemas.openxmlformats.org/officeDocument/2006/relationships/hyperlink" Target="https://jobs.smartrecruiters.com/Inetum2/744000079452397-security-consultant-microsoft" TargetMode="External"/><Relationship Id="rId92" Type="http://schemas.openxmlformats.org/officeDocument/2006/relationships/hyperlink" Target="https://jobright.ai/jobs/info/6944de5594730b73987815a1" TargetMode="External"/><Relationship Id="rId2" Type="http://schemas.openxmlformats.org/officeDocument/2006/relationships/hyperlink" Target="https://www.linkedin.com/jobs/view/digital-solution-specialists-security-at-microsoft-4261014224/?skipRedirect=true&amp;originalSubdomain=vn" TargetMode="External"/><Relationship Id="rId29" Type="http://schemas.openxmlformats.org/officeDocument/2006/relationships/hyperlink" Target="https://vn.joboko.com/viec-lam-cvcc-quan-tri-ung-dung-ha-tang-doanh-nghiep-k-cntt-xvi5995763" TargetMode="External"/><Relationship Id="rId24" Type="http://schemas.openxmlformats.org/officeDocument/2006/relationships/hyperlink" Target="https://vn.joboko.com/viec-lam-senior-it-system-engineer-cloud-linux-aws-azure-xvi6160525" TargetMode="External"/><Relationship Id="rId40" Type="http://schemas.openxmlformats.org/officeDocument/2006/relationships/hyperlink" Target="https://boards.greenhouse.io/correlationone/jobs/5736294004" TargetMode="External"/><Relationship Id="rId45" Type="http://schemas.openxmlformats.org/officeDocument/2006/relationships/hyperlink" Target="https://boards.eu.greenhouse.io/ancoris/jobs/4683366101" TargetMode="External"/><Relationship Id="rId66" Type="http://schemas.openxmlformats.org/officeDocument/2006/relationships/hyperlink" Target="https://jobs.lever.co/mosaictherapy/e61437c1-ffbc-4351-be6a-241682deafc7" TargetMode="External"/><Relationship Id="rId87" Type="http://schemas.openxmlformats.org/officeDocument/2006/relationships/hyperlink" Target="https://careers-iomart.icims.com/jobs/1987/cloud-technician-%28l2%29/job" TargetMode="External"/><Relationship Id="rId61" Type="http://schemas.openxmlformats.org/officeDocument/2006/relationships/hyperlink" Target="https://jobs.lever.co/qualysoft/45ce0eb5-8e73-4888-9056-ecfe2ac73c25" TargetMode="External"/><Relationship Id="rId82" Type="http://schemas.openxmlformats.org/officeDocument/2006/relationships/hyperlink" Target="https://dxctechnology.wd1.myworkdayjobs.com/en-US/DXCJobs/job/Power-BI---Power-Apps-Developer_51565370" TargetMode="External"/><Relationship Id="rId19" Type="http://schemas.openxmlformats.org/officeDocument/2006/relationships/hyperlink" Target="https://vn.indeed.com/viewjob?jk=9805d625a16178b9" TargetMode="External"/><Relationship Id="rId14" Type="http://schemas.openxmlformats.org/officeDocument/2006/relationships/hyperlink" Target="https://datapot.vn/datapot-tuyen-dung-giang-vien-va-tro-giang/" TargetMode="External"/><Relationship Id="rId30" Type="http://schemas.openxmlformats.org/officeDocument/2006/relationships/hyperlink" Target="https://itviec.com/viec-lam-it/security-administrator-microsoft-azure-owasp-onpoint-1924" TargetMode="External"/><Relationship Id="rId35" Type="http://schemas.openxmlformats.org/officeDocument/2006/relationships/hyperlink" Target="https://itviec.com/viec-lam-it/senior-devops-engineer-azure-rikkeisoft-5710" TargetMode="External"/><Relationship Id="rId56" Type="http://schemas.openxmlformats.org/officeDocument/2006/relationships/hyperlink" Target="https://jobs.lever.co/smart-working-solutions/addd36ab-4262-4780-9538-24f17838280e" TargetMode="External"/><Relationship Id="rId77" Type="http://schemas.openxmlformats.org/officeDocument/2006/relationships/hyperlink" Target="https://jobs.smartrecruiters.com/REPAGROUP/744000095941049-cloud-engineer" TargetMode="External"/><Relationship Id="rId100" Type="http://schemas.openxmlformats.org/officeDocument/2006/relationships/hyperlink" Target="https://social.icims.com/job/Presales-Security-Consultant-M365-Multi-Cloud-Enterprise-Security-Job-HK-Kwun-Tong-47086499.html" TargetMode="External"/><Relationship Id="rId8" Type="http://schemas.openxmlformats.org/officeDocument/2006/relationships/hyperlink" Target="https://www.topcv.vn/viec-lam/microsoft-office-365-admin/518567.html" TargetMode="External"/><Relationship Id="rId51" Type="http://schemas.openxmlformats.org/officeDocument/2006/relationships/hyperlink" Target="https://job-boards.greenhouse.io/orioninnovationnaukri/jobs/4598549006" TargetMode="External"/><Relationship Id="rId72" Type="http://schemas.openxmlformats.org/officeDocument/2006/relationships/hyperlink" Target="https://jobs.smartrecruiters.com/Resillion/744000097720626-senior-m365-specialist-" TargetMode="External"/><Relationship Id="rId93" Type="http://schemas.openxmlformats.org/officeDocument/2006/relationships/hyperlink" Target="https://www.linkedin.com/jobs/view/cloud-platform-engineer-azure-kubernetes-at-jobgether-4319847959/?skipRedirect=true" TargetMode="External"/><Relationship Id="rId98" Type="http://schemas.openxmlformats.org/officeDocument/2006/relationships/hyperlink" Target="https://ensigninfosecurity.wd3.myworkdayjobs.com/en-US/Ensign_Careers/job/Security-Analyst--SOC-Level-2-_JOBREQ-0003094" TargetMode="External"/><Relationship Id="rId3" Type="http://schemas.openxmlformats.org/officeDocument/2006/relationships/hyperlink" Target="https://www.topcv.vn/viec-lam/solution-architect-microsoft-security/1771716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5DD4-293A-44E6-AEB2-D167E9908D32}">
  <dimension ref="B1:K53"/>
  <sheetViews>
    <sheetView workbookViewId="0">
      <pane ySplit="2" topLeftCell="A3" activePane="bottomLeft" state="frozen"/>
      <selection pane="bottomLeft" activeCell="C24" sqref="C24"/>
    </sheetView>
  </sheetViews>
  <sheetFormatPr defaultRowHeight="21" customHeight="1"/>
  <cols>
    <col min="1" max="1" width="9.140625" style="20"/>
    <col min="2" max="2" width="9" style="20" customWidth="1"/>
    <col min="3" max="3" width="20.7109375" style="20" customWidth="1"/>
    <col min="4" max="4" width="48.7109375" style="20" customWidth="1"/>
    <col min="5" max="5" width="17.42578125" style="20" customWidth="1"/>
    <col min="6" max="6" width="34.28515625" style="20" customWidth="1"/>
    <col min="7" max="7" width="17" style="26" customWidth="1"/>
    <col min="8" max="8" width="11.140625" style="20" bestFit="1" customWidth="1"/>
    <col min="9" max="9" width="17.28515625" style="20" customWidth="1"/>
    <col min="10" max="10" width="19.28515625" style="20" bestFit="1" customWidth="1"/>
    <col min="11" max="11" width="51" style="26" customWidth="1"/>
    <col min="12" max="16384" width="9.140625" style="20"/>
  </cols>
  <sheetData>
    <row r="1" spans="2:11" ht="37.5" customHeight="1">
      <c r="B1" s="30" t="s">
        <v>0</v>
      </c>
      <c r="C1" s="21"/>
      <c r="D1" s="21"/>
      <c r="E1" s="21"/>
      <c r="F1" s="21"/>
      <c r="G1" s="22"/>
      <c r="H1" s="21"/>
      <c r="I1" s="21"/>
      <c r="J1" s="21"/>
      <c r="K1" s="22"/>
    </row>
    <row r="2" spans="2:11" ht="21" customHeight="1"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4" t="s">
        <v>10</v>
      </c>
    </row>
    <row r="3" spans="2:11" ht="21" customHeight="1">
      <c r="B3" s="20">
        <v>1</v>
      </c>
      <c r="C3" s="20" t="s">
        <v>11</v>
      </c>
      <c r="D3" s="20" t="s">
        <v>12</v>
      </c>
      <c r="E3" s="20" t="s">
        <v>12</v>
      </c>
      <c r="F3" s="20" t="s">
        <v>13</v>
      </c>
      <c r="G3" s="20" t="s">
        <v>14</v>
      </c>
      <c r="H3" s="20" t="s">
        <v>15</v>
      </c>
      <c r="I3" s="20" t="s">
        <v>16</v>
      </c>
      <c r="J3" s="20" t="s">
        <v>17</v>
      </c>
      <c r="K3" s="25" t="s">
        <v>18</v>
      </c>
    </row>
    <row r="4" spans="2:11" ht="21" customHeight="1">
      <c r="B4" s="20">
        <v>2</v>
      </c>
      <c r="C4" s="20" t="s">
        <v>11</v>
      </c>
      <c r="D4" s="20" t="s">
        <v>19</v>
      </c>
      <c r="E4" s="20" t="s">
        <v>19</v>
      </c>
      <c r="F4" s="20" t="s">
        <v>13</v>
      </c>
      <c r="G4" s="20" t="s">
        <v>14</v>
      </c>
      <c r="H4" s="20" t="s">
        <v>15</v>
      </c>
      <c r="I4" s="20" t="s">
        <v>16</v>
      </c>
      <c r="J4" s="20" t="s">
        <v>17</v>
      </c>
      <c r="K4" s="25" t="s">
        <v>18</v>
      </c>
    </row>
    <row r="5" spans="2:11" ht="21" customHeight="1">
      <c r="B5" s="20">
        <v>3</v>
      </c>
      <c r="C5" s="20" t="s">
        <v>20</v>
      </c>
      <c r="D5" s="20" t="s">
        <v>21</v>
      </c>
      <c r="E5" s="20" t="s">
        <v>12</v>
      </c>
      <c r="F5" s="20" t="s">
        <v>22</v>
      </c>
      <c r="G5" s="20" t="s">
        <v>14</v>
      </c>
      <c r="H5" s="20" t="s">
        <v>15</v>
      </c>
      <c r="I5" s="20" t="s">
        <v>16</v>
      </c>
      <c r="J5" s="20" t="s">
        <v>23</v>
      </c>
      <c r="K5" s="25" t="s">
        <v>24</v>
      </c>
    </row>
    <row r="6" spans="2:11" ht="21" customHeight="1">
      <c r="B6" s="20">
        <v>4</v>
      </c>
      <c r="C6" s="20" t="s">
        <v>20</v>
      </c>
      <c r="D6" s="20" t="s">
        <v>25</v>
      </c>
      <c r="E6" s="20" t="s">
        <v>19</v>
      </c>
      <c r="F6" s="20" t="s">
        <v>26</v>
      </c>
      <c r="G6" s="20" t="s">
        <v>14</v>
      </c>
      <c r="H6" s="20" t="s">
        <v>15</v>
      </c>
      <c r="I6" s="20" t="s">
        <v>16</v>
      </c>
      <c r="J6" s="20" t="s">
        <v>23</v>
      </c>
      <c r="K6" s="25" t="s">
        <v>27</v>
      </c>
    </row>
    <row r="7" spans="2:11" ht="21" customHeight="1">
      <c r="B7" s="20">
        <v>5</v>
      </c>
      <c r="C7" s="20" t="s">
        <v>28</v>
      </c>
      <c r="D7" s="20" t="s">
        <v>29</v>
      </c>
      <c r="E7" s="20" t="s">
        <v>30</v>
      </c>
      <c r="F7" s="20" t="s">
        <v>26</v>
      </c>
      <c r="G7" s="20" t="s">
        <v>14</v>
      </c>
      <c r="H7" s="20" t="s">
        <v>15</v>
      </c>
      <c r="I7" s="20" t="s">
        <v>16</v>
      </c>
      <c r="J7" s="20" t="s">
        <v>31</v>
      </c>
      <c r="K7" s="25" t="s">
        <v>32</v>
      </c>
    </row>
    <row r="8" spans="2:11" ht="21" customHeight="1">
      <c r="B8" s="20">
        <v>6</v>
      </c>
      <c r="C8" s="20" t="s">
        <v>28</v>
      </c>
      <c r="D8" s="20" t="s">
        <v>33</v>
      </c>
      <c r="E8" s="20" t="s">
        <v>19</v>
      </c>
      <c r="F8" s="20" t="s">
        <v>26</v>
      </c>
      <c r="G8" s="20" t="s">
        <v>14</v>
      </c>
      <c r="H8" s="20" t="s">
        <v>15</v>
      </c>
      <c r="I8" s="20" t="s">
        <v>16</v>
      </c>
      <c r="J8" s="20" t="s">
        <v>31</v>
      </c>
      <c r="K8" s="25" t="s">
        <v>34</v>
      </c>
    </row>
    <row r="9" spans="2:11" ht="21" customHeight="1">
      <c r="B9" s="20">
        <v>7</v>
      </c>
      <c r="C9" s="20" t="s">
        <v>28</v>
      </c>
      <c r="D9" s="20" t="s">
        <v>35</v>
      </c>
      <c r="E9" s="20" t="s">
        <v>36</v>
      </c>
      <c r="F9" s="20" t="s">
        <v>37</v>
      </c>
      <c r="G9" s="20" t="s">
        <v>14</v>
      </c>
      <c r="H9" s="20" t="s">
        <v>38</v>
      </c>
      <c r="I9" s="20" t="s">
        <v>16</v>
      </c>
      <c r="J9" s="20" t="s">
        <v>31</v>
      </c>
      <c r="K9" s="25" t="s">
        <v>39</v>
      </c>
    </row>
    <row r="10" spans="2:11" ht="21" customHeight="1">
      <c r="B10" s="20">
        <v>8</v>
      </c>
      <c r="C10" s="20" t="s">
        <v>40</v>
      </c>
      <c r="D10" s="20" t="s">
        <v>41</v>
      </c>
      <c r="E10" s="20" t="s">
        <v>19</v>
      </c>
      <c r="F10" s="20" t="s">
        <v>42</v>
      </c>
      <c r="G10" s="20" t="s">
        <v>14</v>
      </c>
      <c r="H10" s="20" t="s">
        <v>15</v>
      </c>
      <c r="I10" s="20" t="s">
        <v>16</v>
      </c>
      <c r="J10" s="20" t="s">
        <v>43</v>
      </c>
      <c r="K10" s="25" t="s">
        <v>44</v>
      </c>
    </row>
    <row r="11" spans="2:11" ht="21" customHeight="1">
      <c r="B11" s="20">
        <v>9</v>
      </c>
      <c r="C11" s="20" t="s">
        <v>45</v>
      </c>
      <c r="D11" s="20" t="s">
        <v>30</v>
      </c>
      <c r="E11" s="20" t="s">
        <v>30</v>
      </c>
      <c r="F11" s="20" t="s">
        <v>46</v>
      </c>
      <c r="G11" s="20" t="s">
        <v>14</v>
      </c>
      <c r="H11" s="20" t="s">
        <v>38</v>
      </c>
      <c r="I11" s="20" t="s">
        <v>16</v>
      </c>
      <c r="J11" s="20" t="s">
        <v>47</v>
      </c>
      <c r="K11" s="25" t="s">
        <v>48</v>
      </c>
    </row>
    <row r="12" spans="2:11" ht="21" customHeight="1">
      <c r="B12" s="20">
        <v>10</v>
      </c>
      <c r="C12" s="20" t="s">
        <v>49</v>
      </c>
      <c r="D12" s="20" t="s">
        <v>50</v>
      </c>
      <c r="E12" s="20" t="s">
        <v>30</v>
      </c>
      <c r="F12" s="20" t="s">
        <v>51</v>
      </c>
      <c r="G12" s="20" t="s">
        <v>14</v>
      </c>
      <c r="H12" s="20" t="s">
        <v>38</v>
      </c>
      <c r="I12" s="20" t="s">
        <v>16</v>
      </c>
      <c r="J12" s="20" t="s">
        <v>47</v>
      </c>
      <c r="K12" s="25" t="s">
        <v>52</v>
      </c>
    </row>
    <row r="13" spans="2:11" ht="21" customHeight="1">
      <c r="B13" s="20">
        <v>11</v>
      </c>
      <c r="C13" s="20" t="s">
        <v>53</v>
      </c>
      <c r="D13" s="20" t="s">
        <v>12</v>
      </c>
      <c r="E13" s="20" t="s">
        <v>12</v>
      </c>
      <c r="F13" s="20" t="s">
        <v>22</v>
      </c>
      <c r="G13" s="20" t="s">
        <v>14</v>
      </c>
      <c r="H13" s="20" t="s">
        <v>15</v>
      </c>
      <c r="I13" s="20" t="s">
        <v>16</v>
      </c>
      <c r="J13" s="20" t="s">
        <v>54</v>
      </c>
      <c r="K13" s="25" t="s">
        <v>55</v>
      </c>
    </row>
    <row r="14" spans="2:11" ht="21" customHeight="1">
      <c r="B14" s="20">
        <v>12</v>
      </c>
      <c r="C14" s="20" t="s">
        <v>56</v>
      </c>
      <c r="D14" s="20" t="s">
        <v>57</v>
      </c>
      <c r="E14" s="20" t="s">
        <v>19</v>
      </c>
      <c r="F14" s="20" t="s">
        <v>37</v>
      </c>
      <c r="G14" s="20" t="s">
        <v>14</v>
      </c>
      <c r="H14" s="20" t="s">
        <v>15</v>
      </c>
      <c r="I14" s="20" t="s">
        <v>16</v>
      </c>
      <c r="J14" s="20" t="s">
        <v>58</v>
      </c>
      <c r="K14" s="25" t="s">
        <v>59</v>
      </c>
    </row>
    <row r="15" spans="2:11" ht="21" customHeight="1">
      <c r="B15" s="20">
        <v>13</v>
      </c>
      <c r="C15" s="20" t="s">
        <v>60</v>
      </c>
      <c r="D15" s="20" t="s">
        <v>30</v>
      </c>
      <c r="E15" s="20" t="s">
        <v>30</v>
      </c>
      <c r="F15" s="20" t="s">
        <v>37</v>
      </c>
      <c r="G15" s="20" t="s">
        <v>14</v>
      </c>
      <c r="H15" s="20" t="s">
        <v>15</v>
      </c>
      <c r="I15" s="20" t="s">
        <v>16</v>
      </c>
      <c r="J15" s="20" t="s">
        <v>61</v>
      </c>
      <c r="K15" s="25" t="s">
        <v>62</v>
      </c>
    </row>
    <row r="16" spans="2:11" ht="21" customHeight="1">
      <c r="B16" s="20">
        <v>14</v>
      </c>
      <c r="C16" s="20" t="s">
        <v>63</v>
      </c>
      <c r="D16" s="20" t="s">
        <v>64</v>
      </c>
      <c r="E16" s="20" t="s">
        <v>36</v>
      </c>
      <c r="F16" s="20" t="s">
        <v>37</v>
      </c>
      <c r="G16" s="20" t="s">
        <v>14</v>
      </c>
      <c r="H16" s="20" t="s">
        <v>65</v>
      </c>
      <c r="I16" s="20" t="s">
        <v>66</v>
      </c>
      <c r="J16" s="20" t="s">
        <v>47</v>
      </c>
      <c r="K16" s="25" t="s">
        <v>67</v>
      </c>
    </row>
    <row r="17" spans="2:11" ht="21" customHeight="1">
      <c r="B17" s="20">
        <v>15</v>
      </c>
      <c r="C17" s="20" t="s">
        <v>68</v>
      </c>
      <c r="D17" s="20" t="s">
        <v>69</v>
      </c>
      <c r="E17" s="20" t="s">
        <v>36</v>
      </c>
      <c r="F17" s="20" t="s">
        <v>70</v>
      </c>
      <c r="G17" s="26" t="s">
        <v>14</v>
      </c>
      <c r="H17" s="20" t="s">
        <v>15</v>
      </c>
      <c r="I17" s="20" t="s">
        <v>43</v>
      </c>
      <c r="J17" s="20" t="s">
        <v>71</v>
      </c>
      <c r="K17" s="25" t="s">
        <v>72</v>
      </c>
    </row>
    <row r="18" spans="2:11" ht="21" customHeight="1">
      <c r="B18" s="20">
        <v>16</v>
      </c>
      <c r="C18" s="20" t="s">
        <v>73</v>
      </c>
      <c r="D18" s="20" t="s">
        <v>30</v>
      </c>
      <c r="E18" s="20" t="s">
        <v>30</v>
      </c>
      <c r="F18" s="20" t="s">
        <v>37</v>
      </c>
      <c r="G18" s="26" t="s">
        <v>14</v>
      </c>
      <c r="H18" s="20" t="s">
        <v>15</v>
      </c>
      <c r="I18" s="20" t="s">
        <v>43</v>
      </c>
      <c r="J18" s="20" t="s">
        <v>74</v>
      </c>
      <c r="K18" s="25" t="s">
        <v>75</v>
      </c>
    </row>
    <row r="19" spans="2:11" ht="21" customHeight="1">
      <c r="B19" s="20">
        <v>17</v>
      </c>
      <c r="C19" s="20" t="s">
        <v>76</v>
      </c>
      <c r="D19" s="20" t="s">
        <v>19</v>
      </c>
      <c r="E19" s="20" t="s">
        <v>19</v>
      </c>
      <c r="F19" s="20" t="s">
        <v>37</v>
      </c>
      <c r="G19" s="26" t="s">
        <v>14</v>
      </c>
      <c r="H19" s="20" t="s">
        <v>15</v>
      </c>
      <c r="I19" s="20" t="s">
        <v>77</v>
      </c>
      <c r="J19" s="20" t="s">
        <v>78</v>
      </c>
      <c r="K19" s="27" t="s">
        <v>79</v>
      </c>
    </row>
    <row r="20" spans="2:11" ht="21" customHeight="1">
      <c r="B20" s="20">
        <v>18</v>
      </c>
      <c r="C20" s="20" t="s">
        <v>80</v>
      </c>
      <c r="D20" s="20" t="s">
        <v>81</v>
      </c>
      <c r="E20" s="20" t="s">
        <v>12</v>
      </c>
      <c r="F20" s="20" t="s">
        <v>26</v>
      </c>
      <c r="G20" s="26" t="s">
        <v>14</v>
      </c>
      <c r="H20" s="20" t="s">
        <v>15</v>
      </c>
      <c r="I20" s="20" t="s">
        <v>16</v>
      </c>
      <c r="J20" s="20" t="s">
        <v>82</v>
      </c>
      <c r="K20" s="25" t="s">
        <v>83</v>
      </c>
    </row>
    <row r="21" spans="2:11" ht="21" customHeight="1">
      <c r="B21" s="20">
        <v>19</v>
      </c>
      <c r="C21" s="20" t="s">
        <v>84</v>
      </c>
      <c r="D21" s="20" t="s">
        <v>85</v>
      </c>
      <c r="E21" s="20" t="s">
        <v>19</v>
      </c>
      <c r="F21" s="20" t="s">
        <v>37</v>
      </c>
      <c r="G21" s="26" t="s">
        <v>14</v>
      </c>
      <c r="H21" s="20" t="s">
        <v>15</v>
      </c>
      <c r="I21" s="20" t="s">
        <v>16</v>
      </c>
      <c r="J21" s="20" t="s">
        <v>61</v>
      </c>
      <c r="K21" s="25" t="s">
        <v>86</v>
      </c>
    </row>
    <row r="22" spans="2:11" ht="21" customHeight="1">
      <c r="B22" s="20">
        <v>20</v>
      </c>
      <c r="C22" s="20" t="s">
        <v>84</v>
      </c>
      <c r="D22" s="20" t="s">
        <v>30</v>
      </c>
      <c r="E22" s="20" t="s">
        <v>30</v>
      </c>
      <c r="F22" s="20" t="s">
        <v>37</v>
      </c>
      <c r="G22" s="26" t="s">
        <v>14</v>
      </c>
      <c r="H22" s="20" t="s">
        <v>15</v>
      </c>
      <c r="I22" s="20" t="s">
        <v>16</v>
      </c>
      <c r="J22" s="20" t="s">
        <v>61</v>
      </c>
      <c r="K22" s="25" t="s">
        <v>87</v>
      </c>
    </row>
    <row r="23" spans="2:11" ht="21" customHeight="1">
      <c r="B23" s="20">
        <v>21</v>
      </c>
      <c r="C23" s="20" t="s">
        <v>84</v>
      </c>
      <c r="D23" s="20" t="s">
        <v>88</v>
      </c>
      <c r="E23" s="20" t="s">
        <v>19</v>
      </c>
      <c r="F23" s="20" t="s">
        <v>89</v>
      </c>
      <c r="G23" s="26" t="s">
        <v>14</v>
      </c>
      <c r="H23" s="20" t="s">
        <v>15</v>
      </c>
      <c r="I23" s="20" t="s">
        <v>16</v>
      </c>
      <c r="J23" s="20" t="s">
        <v>61</v>
      </c>
      <c r="K23" s="25" t="s">
        <v>90</v>
      </c>
    </row>
    <row r="24" spans="2:11" ht="21" customHeight="1">
      <c r="B24" s="20">
        <v>22</v>
      </c>
      <c r="C24" s="20" t="s">
        <v>84</v>
      </c>
      <c r="D24" s="20" t="s">
        <v>91</v>
      </c>
      <c r="E24" s="20" t="s">
        <v>30</v>
      </c>
      <c r="F24" s="20" t="s">
        <v>70</v>
      </c>
      <c r="G24" s="26" t="s">
        <v>14</v>
      </c>
      <c r="H24" s="20" t="s">
        <v>15</v>
      </c>
      <c r="I24" s="20" t="s">
        <v>16</v>
      </c>
      <c r="J24" s="20" t="s">
        <v>61</v>
      </c>
      <c r="K24" s="25" t="s">
        <v>92</v>
      </c>
    </row>
    <row r="25" spans="2:11" ht="21" customHeight="1">
      <c r="B25" s="20">
        <v>23</v>
      </c>
      <c r="C25" s="20" t="s">
        <v>93</v>
      </c>
      <c r="D25" s="20" t="s">
        <v>94</v>
      </c>
      <c r="E25" s="20" t="s">
        <v>19</v>
      </c>
      <c r="F25" s="20" t="s">
        <v>95</v>
      </c>
      <c r="G25" s="26" t="s">
        <v>14</v>
      </c>
      <c r="H25" s="20" t="s">
        <v>15</v>
      </c>
      <c r="I25" s="20" t="s">
        <v>16</v>
      </c>
      <c r="J25" s="20" t="s">
        <v>61</v>
      </c>
      <c r="K25" s="25" t="s">
        <v>96</v>
      </c>
    </row>
    <row r="26" spans="2:11" ht="21" customHeight="1">
      <c r="B26" s="20">
        <v>24</v>
      </c>
      <c r="C26" s="20" t="s">
        <v>93</v>
      </c>
      <c r="D26" s="20" t="s">
        <v>97</v>
      </c>
      <c r="E26" s="20" t="s">
        <v>30</v>
      </c>
      <c r="F26" s="20" t="s">
        <v>89</v>
      </c>
      <c r="G26" s="26" t="s">
        <v>14</v>
      </c>
      <c r="H26" s="20" t="s">
        <v>15</v>
      </c>
      <c r="I26" s="20" t="s">
        <v>16</v>
      </c>
      <c r="J26" s="20" t="s">
        <v>61</v>
      </c>
      <c r="K26" s="25" t="s">
        <v>98</v>
      </c>
    </row>
    <row r="27" spans="2:11" ht="21" customHeight="1">
      <c r="B27" s="20">
        <v>25</v>
      </c>
      <c r="C27" s="20" t="s">
        <v>93</v>
      </c>
      <c r="D27" s="28" t="s">
        <v>99</v>
      </c>
      <c r="E27" s="20" t="s">
        <v>30</v>
      </c>
      <c r="F27" s="20" t="s">
        <v>89</v>
      </c>
      <c r="G27" s="26" t="s">
        <v>14</v>
      </c>
      <c r="H27" s="20" t="s">
        <v>15</v>
      </c>
      <c r="I27" s="20" t="s">
        <v>16</v>
      </c>
      <c r="J27" s="20" t="s">
        <v>61</v>
      </c>
      <c r="K27" s="25" t="s">
        <v>100</v>
      </c>
    </row>
    <row r="28" spans="2:11" ht="21" customHeight="1">
      <c r="B28" s="20">
        <v>26</v>
      </c>
      <c r="C28" s="20" t="s">
        <v>93</v>
      </c>
      <c r="D28" s="20" t="s">
        <v>101</v>
      </c>
      <c r="E28" s="20" t="s">
        <v>30</v>
      </c>
      <c r="F28" s="20" t="s">
        <v>37</v>
      </c>
      <c r="G28" s="26" t="s">
        <v>14</v>
      </c>
      <c r="H28" s="20" t="s">
        <v>15</v>
      </c>
      <c r="I28" s="20" t="s">
        <v>16</v>
      </c>
      <c r="J28" s="20" t="s">
        <v>61</v>
      </c>
      <c r="K28" s="25" t="s">
        <v>102</v>
      </c>
    </row>
    <row r="29" spans="2:11" ht="21" customHeight="1">
      <c r="B29" s="20">
        <v>27</v>
      </c>
      <c r="C29" s="20" t="s">
        <v>103</v>
      </c>
      <c r="D29" s="20" t="s">
        <v>104</v>
      </c>
      <c r="E29" s="20" t="s">
        <v>19</v>
      </c>
      <c r="F29" s="20" t="s">
        <v>37</v>
      </c>
      <c r="G29" s="26" t="s">
        <v>14</v>
      </c>
      <c r="H29" s="20" t="s">
        <v>15</v>
      </c>
      <c r="I29" s="20" t="s">
        <v>66</v>
      </c>
      <c r="J29" s="20" t="s">
        <v>47</v>
      </c>
      <c r="K29" s="25" t="s">
        <v>105</v>
      </c>
    </row>
    <row r="30" spans="2:11" ht="21" customHeight="1">
      <c r="B30" s="20">
        <v>28</v>
      </c>
      <c r="C30" s="20" t="s">
        <v>56</v>
      </c>
      <c r="D30" s="20" t="s">
        <v>106</v>
      </c>
      <c r="E30" s="20" t="s">
        <v>19</v>
      </c>
      <c r="F30" s="20" t="s">
        <v>37</v>
      </c>
      <c r="G30" s="20" t="s">
        <v>14</v>
      </c>
      <c r="H30" s="20" t="s">
        <v>15</v>
      </c>
      <c r="I30" s="20" t="s">
        <v>16</v>
      </c>
      <c r="J30" s="20" t="s">
        <v>58</v>
      </c>
      <c r="K30" s="25" t="s">
        <v>107</v>
      </c>
    </row>
    <row r="31" spans="2:11" ht="21" customHeight="1">
      <c r="B31" s="20">
        <v>29</v>
      </c>
      <c r="C31" s="20" t="s">
        <v>56</v>
      </c>
      <c r="D31" s="20" t="s">
        <v>108</v>
      </c>
      <c r="E31" s="20" t="s">
        <v>19</v>
      </c>
      <c r="F31" s="20" t="s">
        <v>37</v>
      </c>
      <c r="G31" s="20" t="s">
        <v>14</v>
      </c>
      <c r="H31" s="20" t="s">
        <v>15</v>
      </c>
      <c r="I31" s="20" t="s">
        <v>16</v>
      </c>
      <c r="J31" s="20" t="s">
        <v>58</v>
      </c>
      <c r="K31" s="25" t="s">
        <v>109</v>
      </c>
    </row>
    <row r="32" spans="2:11" ht="21" customHeight="1">
      <c r="B32" s="20">
        <v>30</v>
      </c>
      <c r="C32" s="20" t="s">
        <v>60</v>
      </c>
      <c r="D32" s="20" t="s">
        <v>110</v>
      </c>
      <c r="E32" s="20" t="s">
        <v>19</v>
      </c>
      <c r="F32" s="20" t="s">
        <v>89</v>
      </c>
      <c r="G32" s="20" t="s">
        <v>14</v>
      </c>
      <c r="H32" s="20" t="s">
        <v>15</v>
      </c>
      <c r="I32" s="20" t="s">
        <v>16</v>
      </c>
      <c r="J32" s="20" t="s">
        <v>61</v>
      </c>
      <c r="K32" s="25" t="s">
        <v>111</v>
      </c>
    </row>
    <row r="33" spans="2:11" ht="21" customHeight="1">
      <c r="B33" s="20">
        <v>31</v>
      </c>
      <c r="C33" s="20" t="s">
        <v>60</v>
      </c>
      <c r="D33" s="20" t="s">
        <v>112</v>
      </c>
      <c r="E33" s="20" t="s">
        <v>19</v>
      </c>
      <c r="F33" s="20" t="s">
        <v>89</v>
      </c>
      <c r="G33" s="20" t="s">
        <v>14</v>
      </c>
      <c r="H33" s="20" t="s">
        <v>15</v>
      </c>
      <c r="I33" s="20" t="s">
        <v>16</v>
      </c>
      <c r="J33" s="20" t="s">
        <v>61</v>
      </c>
      <c r="K33" s="25" t="s">
        <v>113</v>
      </c>
    </row>
    <row r="34" spans="2:11" ht="21" customHeight="1">
      <c r="B34" s="20">
        <v>32</v>
      </c>
      <c r="C34" s="20" t="s">
        <v>28</v>
      </c>
      <c r="D34" s="20" t="s">
        <v>114</v>
      </c>
      <c r="E34" s="20" t="s">
        <v>30</v>
      </c>
      <c r="F34" s="20" t="s">
        <v>26</v>
      </c>
      <c r="G34" s="20" t="s">
        <v>14</v>
      </c>
      <c r="H34" s="20" t="s">
        <v>15</v>
      </c>
      <c r="I34" s="20" t="s">
        <v>16</v>
      </c>
      <c r="J34" s="20" t="s">
        <v>31</v>
      </c>
      <c r="K34" s="25" t="s">
        <v>115</v>
      </c>
    </row>
    <row r="35" spans="2:11" ht="21" customHeight="1">
      <c r="B35" s="20">
        <v>33</v>
      </c>
      <c r="C35" s="20" t="s">
        <v>28</v>
      </c>
      <c r="D35" s="20" t="s">
        <v>116</v>
      </c>
      <c r="E35" s="20" t="s">
        <v>30</v>
      </c>
      <c r="F35" s="20" t="s">
        <v>26</v>
      </c>
      <c r="G35" s="20" t="s">
        <v>14</v>
      </c>
      <c r="H35" s="20" t="s">
        <v>15</v>
      </c>
      <c r="I35" s="20" t="s">
        <v>16</v>
      </c>
      <c r="J35" s="20" t="s">
        <v>31</v>
      </c>
      <c r="K35" s="25" t="s">
        <v>117</v>
      </c>
    </row>
    <row r="36" spans="2:11" ht="21" customHeight="1">
      <c r="B36" s="20">
        <v>34</v>
      </c>
      <c r="C36" s="20" t="s">
        <v>118</v>
      </c>
      <c r="D36" s="20" t="s">
        <v>119</v>
      </c>
      <c r="E36" s="20" t="s">
        <v>12</v>
      </c>
      <c r="F36" s="20" t="s">
        <v>89</v>
      </c>
      <c r="G36" s="20" t="s">
        <v>14</v>
      </c>
      <c r="H36" s="20" t="s">
        <v>15</v>
      </c>
      <c r="I36" s="20" t="s">
        <v>16</v>
      </c>
      <c r="J36" s="20" t="s">
        <v>61</v>
      </c>
      <c r="K36" s="25" t="s">
        <v>120</v>
      </c>
    </row>
    <row r="37" spans="2:11" ht="21" customHeight="1">
      <c r="B37" s="20">
        <v>35</v>
      </c>
      <c r="C37" s="20" t="s">
        <v>121</v>
      </c>
      <c r="D37" s="20" t="s">
        <v>122</v>
      </c>
      <c r="E37" s="20" t="s">
        <v>30</v>
      </c>
      <c r="F37" s="20" t="s">
        <v>95</v>
      </c>
      <c r="G37" s="20" t="s">
        <v>14</v>
      </c>
      <c r="H37" s="20" t="s">
        <v>15</v>
      </c>
      <c r="I37" s="20" t="s">
        <v>43</v>
      </c>
      <c r="J37" s="20" t="s">
        <v>54</v>
      </c>
      <c r="K37" s="25" t="s">
        <v>123</v>
      </c>
    </row>
    <row r="38" spans="2:11" ht="21" customHeight="1">
      <c r="B38" s="20">
        <v>36</v>
      </c>
      <c r="C38" s="20" t="s">
        <v>121</v>
      </c>
      <c r="D38" s="20" t="s">
        <v>124</v>
      </c>
      <c r="E38" s="20" t="s">
        <v>19</v>
      </c>
      <c r="F38" s="20" t="s">
        <v>89</v>
      </c>
      <c r="G38" s="20" t="s">
        <v>14</v>
      </c>
      <c r="H38" s="20" t="s">
        <v>15</v>
      </c>
      <c r="I38" s="20" t="s">
        <v>43</v>
      </c>
      <c r="J38" s="20" t="s">
        <v>54</v>
      </c>
      <c r="K38" s="25" t="s">
        <v>125</v>
      </c>
    </row>
    <row r="39" spans="2:11" ht="21" customHeight="1">
      <c r="B39" s="20">
        <v>37</v>
      </c>
      <c r="C39" s="20" t="s">
        <v>121</v>
      </c>
      <c r="D39" s="20" t="s">
        <v>126</v>
      </c>
      <c r="E39" s="20" t="s">
        <v>19</v>
      </c>
      <c r="F39" s="20" t="s">
        <v>89</v>
      </c>
      <c r="G39" s="20" t="s">
        <v>14</v>
      </c>
      <c r="H39" s="20" t="s">
        <v>15</v>
      </c>
      <c r="I39" s="20" t="s">
        <v>43</v>
      </c>
      <c r="J39" s="20" t="s">
        <v>54</v>
      </c>
      <c r="K39" s="25" t="s">
        <v>127</v>
      </c>
    </row>
    <row r="40" spans="2:11" ht="21" customHeight="1">
      <c r="B40" s="20">
        <v>38</v>
      </c>
      <c r="C40" s="20" t="s">
        <v>128</v>
      </c>
      <c r="D40" s="20" t="s">
        <v>129</v>
      </c>
      <c r="E40" s="20" t="s">
        <v>30</v>
      </c>
      <c r="F40" s="20" t="s">
        <v>37</v>
      </c>
      <c r="G40" s="20" t="s">
        <v>14</v>
      </c>
      <c r="H40" s="20" t="s">
        <v>15</v>
      </c>
      <c r="I40" s="20" t="s">
        <v>16</v>
      </c>
      <c r="J40" s="20" t="s">
        <v>23</v>
      </c>
      <c r="K40" s="25" t="s">
        <v>130</v>
      </c>
    </row>
    <row r="41" spans="2:11" ht="30" customHeight="1">
      <c r="B41" s="20">
        <v>39</v>
      </c>
      <c r="C41" s="20" t="s">
        <v>131</v>
      </c>
      <c r="D41" s="20" t="s">
        <v>132</v>
      </c>
      <c r="E41" s="26" t="s">
        <v>132</v>
      </c>
      <c r="F41" s="20" t="s">
        <v>37</v>
      </c>
      <c r="G41" s="20" t="s">
        <v>14</v>
      </c>
      <c r="H41" s="20" t="s">
        <v>38</v>
      </c>
      <c r="I41" s="20" t="s">
        <v>66</v>
      </c>
      <c r="J41" s="20" t="s">
        <v>47</v>
      </c>
      <c r="K41" s="25" t="s">
        <v>133</v>
      </c>
    </row>
    <row r="42" spans="2:11" ht="21" customHeight="1">
      <c r="B42" s="20">
        <v>40</v>
      </c>
      <c r="C42" s="20" t="s">
        <v>134</v>
      </c>
      <c r="D42" s="20" t="s">
        <v>135</v>
      </c>
      <c r="E42" s="20" t="s">
        <v>19</v>
      </c>
      <c r="F42" s="20" t="s">
        <v>37</v>
      </c>
      <c r="G42" s="20" t="s">
        <v>14</v>
      </c>
      <c r="H42" s="20" t="s">
        <v>38</v>
      </c>
      <c r="I42" s="20" t="s">
        <v>77</v>
      </c>
      <c r="J42" s="20" t="s">
        <v>136</v>
      </c>
      <c r="K42" s="25" t="s">
        <v>137</v>
      </c>
    </row>
    <row r="43" spans="2:11" ht="36.75" customHeight="1">
      <c r="B43" s="20">
        <v>41</v>
      </c>
      <c r="C43" s="20" t="s">
        <v>138</v>
      </c>
      <c r="D43" s="26" t="s">
        <v>139</v>
      </c>
      <c r="E43" s="20" t="s">
        <v>19</v>
      </c>
      <c r="F43" s="20" t="s">
        <v>37</v>
      </c>
      <c r="G43" s="20" t="s">
        <v>14</v>
      </c>
      <c r="H43" s="20" t="s">
        <v>38</v>
      </c>
      <c r="I43" s="20" t="s">
        <v>77</v>
      </c>
      <c r="J43" s="20" t="s">
        <v>23</v>
      </c>
      <c r="K43" s="25" t="s">
        <v>140</v>
      </c>
    </row>
    <row r="44" spans="2:11" ht="21" customHeight="1">
      <c r="B44" s="20">
        <v>42</v>
      </c>
      <c r="C44" s="20" t="s">
        <v>141</v>
      </c>
      <c r="D44" s="20" t="s">
        <v>142</v>
      </c>
      <c r="E44" s="20" t="s">
        <v>36</v>
      </c>
      <c r="F44" s="20" t="s">
        <v>37</v>
      </c>
      <c r="G44" s="20" t="s">
        <v>14</v>
      </c>
      <c r="H44" s="20" t="s">
        <v>15</v>
      </c>
      <c r="I44" s="20" t="s">
        <v>43</v>
      </c>
      <c r="J44" s="20" t="s">
        <v>54</v>
      </c>
      <c r="K44" s="29" t="s">
        <v>142</v>
      </c>
    </row>
    <row r="45" spans="2:11" ht="21" customHeight="1">
      <c r="B45" s="20">
        <v>43</v>
      </c>
      <c r="C45" s="20" t="s">
        <v>141</v>
      </c>
      <c r="D45" s="20" t="s">
        <v>36</v>
      </c>
      <c r="E45" s="20" t="s">
        <v>36</v>
      </c>
      <c r="F45" s="20" t="s">
        <v>37</v>
      </c>
      <c r="G45" s="20" t="s">
        <v>14</v>
      </c>
      <c r="H45" s="20" t="s">
        <v>38</v>
      </c>
      <c r="I45" s="20" t="s">
        <v>43</v>
      </c>
      <c r="J45" s="20" t="s">
        <v>54</v>
      </c>
      <c r="K45" s="25" t="s">
        <v>143</v>
      </c>
    </row>
    <row r="46" spans="2:11" ht="49.5" customHeight="1">
      <c r="B46" s="20">
        <v>44</v>
      </c>
      <c r="C46" s="20" t="s">
        <v>144</v>
      </c>
      <c r="D46" s="26" t="s">
        <v>145</v>
      </c>
      <c r="E46" s="20" t="s">
        <v>19</v>
      </c>
      <c r="F46" s="20" t="s">
        <v>37</v>
      </c>
      <c r="G46" s="20" t="s">
        <v>14</v>
      </c>
      <c r="H46" s="20" t="s">
        <v>146</v>
      </c>
      <c r="I46" s="20" t="s">
        <v>16</v>
      </c>
      <c r="J46" s="20" t="s">
        <v>17</v>
      </c>
      <c r="K46" s="25" t="s">
        <v>147</v>
      </c>
    </row>
    <row r="47" spans="2:11" ht="21" customHeight="1">
      <c r="B47" s="20">
        <v>45</v>
      </c>
      <c r="C47" s="20" t="s">
        <v>148</v>
      </c>
      <c r="D47" s="20" t="s">
        <v>19</v>
      </c>
      <c r="E47" s="20" t="s">
        <v>19</v>
      </c>
      <c r="F47" s="20" t="s">
        <v>37</v>
      </c>
      <c r="G47" s="20" t="s">
        <v>14</v>
      </c>
      <c r="H47" s="20" t="s">
        <v>38</v>
      </c>
      <c r="I47" s="20" t="s">
        <v>43</v>
      </c>
      <c r="J47" s="20" t="s">
        <v>17</v>
      </c>
      <c r="K47" s="25" t="s">
        <v>149</v>
      </c>
    </row>
    <row r="48" spans="2:11" ht="21" customHeight="1">
      <c r="B48" s="20">
        <v>46</v>
      </c>
      <c r="C48" s="20" t="s">
        <v>150</v>
      </c>
      <c r="D48" s="20" t="s">
        <v>19</v>
      </c>
      <c r="E48" s="20" t="s">
        <v>19</v>
      </c>
      <c r="F48" s="20" t="s">
        <v>37</v>
      </c>
      <c r="G48" s="20" t="s">
        <v>14</v>
      </c>
      <c r="H48" s="20" t="s">
        <v>38</v>
      </c>
      <c r="I48" s="20" t="s">
        <v>16</v>
      </c>
      <c r="J48" s="20" t="s">
        <v>151</v>
      </c>
      <c r="K48" s="29" t="s">
        <v>152</v>
      </c>
    </row>
    <row r="49" spans="2:11" ht="21" customHeight="1">
      <c r="B49" s="20">
        <v>47</v>
      </c>
      <c r="C49" s="20" t="s">
        <v>150</v>
      </c>
      <c r="D49" s="20" t="s">
        <v>12</v>
      </c>
      <c r="E49" s="20" t="s">
        <v>12</v>
      </c>
      <c r="F49" s="20" t="s">
        <v>37</v>
      </c>
      <c r="G49" s="20" t="s">
        <v>14</v>
      </c>
      <c r="H49" s="20" t="s">
        <v>38</v>
      </c>
      <c r="I49" s="20" t="s">
        <v>16</v>
      </c>
      <c r="J49" s="20" t="s">
        <v>151</v>
      </c>
      <c r="K49" s="25" t="s">
        <v>153</v>
      </c>
    </row>
    <row r="50" spans="2:11" ht="21" customHeight="1">
      <c r="B50" s="20">
        <v>48</v>
      </c>
      <c r="C50" s="20" t="s">
        <v>154</v>
      </c>
      <c r="D50" s="20" t="s">
        <v>12</v>
      </c>
      <c r="E50" s="20" t="s">
        <v>12</v>
      </c>
      <c r="F50" s="20" t="s">
        <v>37</v>
      </c>
      <c r="G50" s="20" t="s">
        <v>14</v>
      </c>
      <c r="H50" s="20" t="s">
        <v>15</v>
      </c>
      <c r="I50" s="20" t="s">
        <v>16</v>
      </c>
      <c r="J50" s="20" t="s">
        <v>74</v>
      </c>
      <c r="K50" s="25" t="s">
        <v>155</v>
      </c>
    </row>
    <row r="51" spans="2:11" ht="21" customHeight="1">
      <c r="B51" s="20">
        <v>49</v>
      </c>
      <c r="C51" s="20" t="s">
        <v>156</v>
      </c>
      <c r="D51" s="20" t="s">
        <v>157</v>
      </c>
      <c r="E51" s="20" t="s">
        <v>30</v>
      </c>
      <c r="F51" s="20" t="s">
        <v>37</v>
      </c>
      <c r="G51" s="20" t="s">
        <v>14</v>
      </c>
      <c r="H51" s="20" t="s">
        <v>38</v>
      </c>
      <c r="I51" s="20" t="s">
        <v>43</v>
      </c>
      <c r="J51" s="20" t="s">
        <v>54</v>
      </c>
      <c r="K51" s="25" t="s">
        <v>158</v>
      </c>
    </row>
    <row r="52" spans="2:11" ht="21" customHeight="1">
      <c r="B52" s="20">
        <v>50</v>
      </c>
      <c r="C52" s="20" t="s">
        <v>159</v>
      </c>
      <c r="D52" s="20" t="s">
        <v>160</v>
      </c>
      <c r="E52" s="20" t="s">
        <v>30</v>
      </c>
      <c r="F52" s="20" t="s">
        <v>37</v>
      </c>
      <c r="G52" s="20" t="s">
        <v>14</v>
      </c>
      <c r="H52" s="20" t="s">
        <v>38</v>
      </c>
      <c r="I52" s="20" t="s">
        <v>43</v>
      </c>
      <c r="J52" s="20" t="s">
        <v>161</v>
      </c>
      <c r="K52" s="25" t="s">
        <v>162</v>
      </c>
    </row>
    <row r="53" spans="2:11" ht="21" customHeight="1">
      <c r="B53" s="20">
        <v>51</v>
      </c>
      <c r="C53" s="20" t="s">
        <v>159</v>
      </c>
      <c r="D53" s="20" t="s">
        <v>163</v>
      </c>
      <c r="E53" s="20" t="s">
        <v>12</v>
      </c>
      <c r="F53" s="20" t="s">
        <v>37</v>
      </c>
      <c r="G53" s="20" t="s">
        <v>14</v>
      </c>
      <c r="H53" s="20" t="s">
        <v>38</v>
      </c>
      <c r="I53" s="20" t="s">
        <v>43</v>
      </c>
      <c r="J53" s="20" t="s">
        <v>161</v>
      </c>
      <c r="K53" s="25" t="s">
        <v>164</v>
      </c>
    </row>
  </sheetData>
  <hyperlinks>
    <hyperlink ref="K3" r:id="rId1" xr:uid="{A5A1DF24-D7EE-4A3C-8A12-AA7CD53CBD72}"/>
    <hyperlink ref="K7" r:id="rId2" xr:uid="{67A53A51-5DAB-40B0-9EC1-D630157427B8}"/>
    <hyperlink ref="K8" r:id="rId3" xr:uid="{3B78D75C-0742-4A63-9FBE-9EF7BDC45DA2}"/>
    <hyperlink ref="K10" r:id="rId4" xr:uid="{F1210E9A-5D27-4CE2-B0BB-B5AEAB212754}"/>
    <hyperlink ref="K11" r:id="rId5" xr:uid="{9B44F257-9BF8-4226-B55E-F7952F8DCD26}"/>
    <hyperlink ref="K12" r:id="rId6" xr:uid="{E0C2DF11-5124-4D43-A85A-56811E7C6FAF}"/>
    <hyperlink ref="K13" r:id="rId7" xr:uid="{DA5542D9-C61D-49D1-8015-2330183870BC}"/>
    <hyperlink ref="K14" r:id="rId8" xr:uid="{020752B5-12F7-49AD-A275-C187FB26A25F}"/>
    <hyperlink ref="K15" r:id="rId9" xr:uid="{16A3F5C8-8F87-42B9-B281-1C7A1F9E9B56}"/>
    <hyperlink ref="K16" r:id="rId10" xr:uid="{3F7366CC-F101-4423-A4F3-E6B413468579}"/>
    <hyperlink ref="K17" r:id="rId11" xr:uid="{7C76147E-1F3E-4C94-B8C0-DB77214646AD}"/>
    <hyperlink ref="K18" r:id="rId12" xr:uid="{A7970BE8-817D-491B-BF36-887723D63955}"/>
    <hyperlink ref="K9" r:id="rId13" xr:uid="{367B4E40-4AD4-43EB-B5D7-676A66A9A05A}"/>
    <hyperlink ref="K4" r:id="rId14" xr:uid="{59CF31E8-6260-4C18-9A9F-6E630ECA93A4}"/>
    <hyperlink ref="K6" r:id="rId15" xr:uid="{4B75B9FC-43DB-4581-8351-0EC4106AD03C}"/>
    <hyperlink ref="K5" r:id="rId16" xr:uid="{AF2687E5-CDFF-45A3-BB77-2CA0D93D4E27}"/>
    <hyperlink ref="K19" r:id="rId17" xr:uid="{72A9AE17-F4DE-4D67-BFD3-4229C7C7F184}"/>
    <hyperlink ref="K20" r:id="rId18" xr:uid="{6850620F-26ED-4D1A-9827-428543CDB1AA}"/>
    <hyperlink ref="K21" r:id="rId19" xr:uid="{692C4EE3-62A0-430E-B5ED-61DFA13B0FFB}"/>
    <hyperlink ref="K22" r:id="rId20" xr:uid="{13BBC6E9-FD7C-4FAB-8077-AB5499039B61}"/>
    <hyperlink ref="K23" r:id="rId21" xr:uid="{8B7EF4FF-85D8-4B6E-B3CF-568C37D65A5C}"/>
    <hyperlink ref="K24" r:id="rId22" xr:uid="{826C3F0A-DE75-475F-8CBF-E3FE2BAAC485}"/>
    <hyperlink ref="K25" r:id="rId23" xr:uid="{1A09BC04-0450-44F7-91E1-7A4AE3477AC9}"/>
    <hyperlink ref="K26" r:id="rId24" xr:uid="{ECAEA5B9-669B-4745-94BD-1018A9152C0B}"/>
    <hyperlink ref="K27" r:id="rId25" xr:uid="{19FC585E-562E-4429-934F-797C464E418C}"/>
    <hyperlink ref="K28" r:id="rId26" xr:uid="{740EE0E1-150E-4251-BBCA-AA213837B077}"/>
    <hyperlink ref="K29" r:id="rId27" xr:uid="{8E63274D-7C35-4565-AAEF-B2DBC12F5C08}"/>
    <hyperlink ref="K30" r:id="rId28" xr:uid="{04877781-0548-481D-B40E-D89DDAE51477}"/>
    <hyperlink ref="K31" r:id="rId29" xr:uid="{84CCBB5F-6025-408E-B715-30D19FC88E77}"/>
    <hyperlink ref="K32" r:id="rId30" xr:uid="{9212C938-7166-48B4-9514-F56F8BC3C89C}"/>
    <hyperlink ref="K33" r:id="rId31" xr:uid="{E3A5B6F4-CD94-4D21-9188-E5FABD75928B}"/>
    <hyperlink ref="K34" r:id="rId32" xr:uid="{068915F3-B215-42EA-BB7D-F8B54A53ABE6}"/>
    <hyperlink ref="K35" r:id="rId33" xr:uid="{C35E7D07-B353-482D-863F-EC378CE06014}"/>
    <hyperlink ref="K36" r:id="rId34" xr:uid="{9089E305-847D-4C63-83CC-7D534B213A9C}"/>
    <hyperlink ref="K38" r:id="rId35" xr:uid="{792704F9-B276-48E3-B50E-A9B7698CD77F}"/>
    <hyperlink ref="K39" r:id="rId36" xr:uid="{073BEA39-AD95-4690-90BE-9C3D8C4B5546}"/>
    <hyperlink ref="K37" r:id="rId37" xr:uid="{74D0DA1B-2BDF-41ED-9601-22FF08BFC56D}"/>
    <hyperlink ref="K40" r:id="rId38" xr:uid="{6D457DD7-DA2D-4A8A-8386-97ACBAC1938C}"/>
    <hyperlink ref="K41" r:id="rId39" xr:uid="{EA265A1B-5FA7-4C01-A920-74EC62395848}"/>
    <hyperlink ref="K42" r:id="rId40" xr:uid="{9355E6FB-DAA7-4FF1-85F7-7C206D21C0CB}"/>
    <hyperlink ref="K43" r:id="rId41" xr:uid="{76A02987-EF04-4951-970C-633240817C7C}"/>
    <hyperlink ref="K44" r:id="rId42" xr:uid="{6DE68F42-9F39-4C00-BCE0-A5B44A3F634B}"/>
    <hyperlink ref="K45" r:id="rId43" xr:uid="{E57541F1-FEFA-4A91-B84B-96084A1A5997}"/>
    <hyperlink ref="K46" r:id="rId44" xr:uid="{3DB0F2A1-F81B-46CB-8F51-D2F62080911D}"/>
    <hyperlink ref="K47" r:id="rId45" xr:uid="{B2F2FAF1-4A69-4AD6-966F-50765F54A436}"/>
    <hyperlink ref="K48" r:id="rId46" xr:uid="{35ED22A6-590F-4444-9B94-61C91B52B2CF}"/>
    <hyperlink ref="K49" r:id="rId47" xr:uid="{C3686BAB-3EF5-48CF-A986-F2EA3A6A0163}"/>
    <hyperlink ref="K50" r:id="rId48" xr:uid="{2983C9B1-5439-4910-A666-A227ABC019FB}"/>
    <hyperlink ref="K51" r:id="rId49" xr:uid="{299AC697-F1C2-40CE-8BF3-F693F169825C}"/>
    <hyperlink ref="K52" r:id="rId50" xr:uid="{CF44505A-C709-4789-90CC-EF3B472B938C}"/>
    <hyperlink ref="K53" r:id="rId51" xr:uid="{22B18E8B-236A-42BA-BB2E-17A78D7703AD}"/>
  </hyperlinks>
  <pageMargins left="0.7" right="0.7" top="0.75" bottom="0.75" header="0.3" footer="0.3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8ED2-B154-4E07-ACE1-703BA600FB24}">
  <dimension ref="B1:D51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5"/>
  <cols>
    <col min="1" max="1" width="2.85546875" style="3" customWidth="1"/>
    <col min="2" max="2" width="9.140625" style="32"/>
    <col min="3" max="3" width="53" style="3" customWidth="1"/>
    <col min="4" max="4" width="40.7109375" style="4" customWidth="1"/>
    <col min="5" max="16384" width="9.140625" style="3"/>
  </cols>
  <sheetData>
    <row r="1" spans="2:4">
      <c r="B1" s="31" t="s">
        <v>1</v>
      </c>
      <c r="C1" s="31" t="s">
        <v>165</v>
      </c>
      <c r="D1" s="33" t="s">
        <v>166</v>
      </c>
    </row>
    <row r="2" spans="2:4" ht="16.5">
      <c r="B2" s="32">
        <v>1</v>
      </c>
      <c r="C2" s="34" t="s">
        <v>167</v>
      </c>
      <c r="D2" s="35" t="s">
        <v>168</v>
      </c>
    </row>
    <row r="3" spans="2:4" ht="16.5">
      <c r="B3" s="32">
        <v>2</v>
      </c>
      <c r="C3" s="34" t="s">
        <v>169</v>
      </c>
      <c r="D3" s="35" t="s">
        <v>170</v>
      </c>
    </row>
    <row r="4" spans="2:4" ht="16.5">
      <c r="B4" s="32">
        <v>3</v>
      </c>
      <c r="C4" s="34" t="s">
        <v>171</v>
      </c>
      <c r="D4" s="35" t="s">
        <v>172</v>
      </c>
    </row>
    <row r="5" spans="2:4" ht="16.5">
      <c r="B5" s="32">
        <v>4</v>
      </c>
      <c r="C5" s="34" t="s">
        <v>173</v>
      </c>
      <c r="D5" s="35" t="s">
        <v>174</v>
      </c>
    </row>
    <row r="6" spans="2:4" ht="16.5">
      <c r="B6" s="32">
        <v>5</v>
      </c>
      <c r="C6" s="34" t="s">
        <v>175</v>
      </c>
      <c r="D6" s="35" t="s">
        <v>176</v>
      </c>
    </row>
    <row r="7" spans="2:4" ht="16.5">
      <c r="B7" s="32">
        <v>6</v>
      </c>
      <c r="C7" s="34" t="s">
        <v>177</v>
      </c>
      <c r="D7" s="35" t="s">
        <v>178</v>
      </c>
    </row>
    <row r="8" spans="2:4" ht="16.5">
      <c r="B8" s="32">
        <v>7</v>
      </c>
      <c r="C8" s="34" t="s">
        <v>179</v>
      </c>
      <c r="D8" s="35" t="s">
        <v>180</v>
      </c>
    </row>
    <row r="9" spans="2:4" ht="16.5">
      <c r="B9" s="32">
        <v>8</v>
      </c>
      <c r="C9" s="34" t="s">
        <v>181</v>
      </c>
      <c r="D9" s="35" t="s">
        <v>182</v>
      </c>
    </row>
    <row r="10" spans="2:4" ht="16.5">
      <c r="B10" s="32">
        <v>9</v>
      </c>
      <c r="C10" s="34" t="s">
        <v>183</v>
      </c>
      <c r="D10" s="35" t="s">
        <v>184</v>
      </c>
    </row>
    <row r="11" spans="2:4" ht="16.5">
      <c r="B11" s="32">
        <v>10</v>
      </c>
      <c r="C11" s="34" t="s">
        <v>185</v>
      </c>
      <c r="D11" s="35" t="s">
        <v>186</v>
      </c>
    </row>
    <row r="12" spans="2:4" ht="16.5">
      <c r="B12" s="32">
        <v>11</v>
      </c>
      <c r="C12" s="34" t="s">
        <v>187</v>
      </c>
      <c r="D12" s="35" t="s">
        <v>188</v>
      </c>
    </row>
    <row r="13" spans="2:4" ht="16.5">
      <c r="B13" s="32">
        <v>12</v>
      </c>
      <c r="C13" s="34" t="s">
        <v>189</v>
      </c>
      <c r="D13" s="35" t="s">
        <v>190</v>
      </c>
    </row>
    <row r="14" spans="2:4" ht="16.5">
      <c r="B14" s="32">
        <v>13</v>
      </c>
      <c r="C14" s="34" t="s">
        <v>191</v>
      </c>
      <c r="D14" s="35" t="s">
        <v>192</v>
      </c>
    </row>
    <row r="15" spans="2:4" ht="16.5">
      <c r="B15" s="32">
        <v>14</v>
      </c>
      <c r="C15" s="34" t="s">
        <v>193</v>
      </c>
      <c r="D15" s="35" t="s">
        <v>194</v>
      </c>
    </row>
    <row r="16" spans="2:4" ht="16.5">
      <c r="B16" s="32">
        <v>15</v>
      </c>
      <c r="C16" s="34" t="s">
        <v>195</v>
      </c>
      <c r="D16" s="35" t="s">
        <v>196</v>
      </c>
    </row>
    <row r="17" spans="2:4" ht="16.5">
      <c r="B17" s="32">
        <v>16</v>
      </c>
      <c r="C17" s="34" t="s">
        <v>197</v>
      </c>
      <c r="D17" s="35" t="s">
        <v>198</v>
      </c>
    </row>
    <row r="18" spans="2:4" ht="29.25">
      <c r="B18" s="32">
        <v>17</v>
      </c>
      <c r="C18" s="34" t="s">
        <v>199</v>
      </c>
      <c r="D18" s="35" t="s">
        <v>200</v>
      </c>
    </row>
    <row r="19" spans="2:4" ht="43.5">
      <c r="B19" s="32">
        <v>18</v>
      </c>
      <c r="C19" s="34" t="s">
        <v>201</v>
      </c>
      <c r="D19" s="35" t="s">
        <v>202</v>
      </c>
    </row>
    <row r="20" spans="2:4" ht="57.75">
      <c r="B20" s="32">
        <v>19</v>
      </c>
      <c r="C20" s="34" t="s">
        <v>203</v>
      </c>
      <c r="D20" s="35" t="s">
        <v>204</v>
      </c>
    </row>
    <row r="21" spans="2:4" ht="29.25">
      <c r="B21" s="32">
        <v>20</v>
      </c>
      <c r="C21" s="34" t="s">
        <v>205</v>
      </c>
      <c r="D21" s="35" t="s">
        <v>206</v>
      </c>
    </row>
    <row r="22" spans="2:4" ht="43.5">
      <c r="B22" s="32">
        <v>21</v>
      </c>
      <c r="C22" s="34" t="s">
        <v>207</v>
      </c>
      <c r="D22" s="35" t="s">
        <v>208</v>
      </c>
    </row>
    <row r="23" spans="2:4" ht="29.25">
      <c r="B23" s="32">
        <v>22</v>
      </c>
      <c r="C23" s="34" t="s">
        <v>209</v>
      </c>
      <c r="D23" s="35" t="s">
        <v>210</v>
      </c>
    </row>
    <row r="24" spans="2:4" ht="57.75">
      <c r="B24" s="32">
        <v>23</v>
      </c>
      <c r="C24" s="34" t="s">
        <v>211</v>
      </c>
      <c r="D24" s="35" t="s">
        <v>212</v>
      </c>
    </row>
    <row r="25" spans="2:4" ht="16.5">
      <c r="B25" s="32">
        <v>24</v>
      </c>
      <c r="C25" s="34" t="s">
        <v>40</v>
      </c>
      <c r="D25" s="35" t="s">
        <v>213</v>
      </c>
    </row>
    <row r="26" spans="2:4" ht="16.5">
      <c r="B26" s="32">
        <v>25</v>
      </c>
      <c r="C26" s="34" t="s">
        <v>214</v>
      </c>
      <c r="D26" s="35" t="s">
        <v>215</v>
      </c>
    </row>
    <row r="27" spans="2:4" ht="16.5">
      <c r="B27" s="32">
        <v>26</v>
      </c>
      <c r="C27" s="34" t="s">
        <v>216</v>
      </c>
      <c r="D27" s="35" t="s">
        <v>217</v>
      </c>
    </row>
    <row r="28" spans="2:4" ht="72.75">
      <c r="B28" s="32">
        <v>27</v>
      </c>
      <c r="C28" s="34" t="s">
        <v>45</v>
      </c>
      <c r="D28" s="35" t="s">
        <v>218</v>
      </c>
    </row>
    <row r="29" spans="2:4" ht="16.5">
      <c r="B29" s="32">
        <v>28</v>
      </c>
      <c r="C29" s="34" t="s">
        <v>219</v>
      </c>
      <c r="D29" s="35" t="s">
        <v>220</v>
      </c>
    </row>
    <row r="30" spans="2:4" ht="16.5">
      <c r="B30" s="32">
        <v>29</v>
      </c>
      <c r="C30" s="34" t="s">
        <v>221</v>
      </c>
      <c r="D30" s="35" t="s">
        <v>222</v>
      </c>
    </row>
    <row r="31" spans="2:4" ht="29.25">
      <c r="B31" s="32">
        <v>30</v>
      </c>
      <c r="C31" s="34" t="s">
        <v>223</v>
      </c>
      <c r="D31" s="35" t="s">
        <v>224</v>
      </c>
    </row>
    <row r="32" spans="2:4" ht="29.25">
      <c r="B32" s="32">
        <v>31</v>
      </c>
      <c r="C32" s="36" t="s">
        <v>225</v>
      </c>
      <c r="D32" s="37" t="s">
        <v>226</v>
      </c>
    </row>
    <row r="33" spans="2:4" ht="29.25">
      <c r="B33" s="32">
        <v>32</v>
      </c>
      <c r="C33" s="34" t="s">
        <v>28</v>
      </c>
      <c r="D33" s="35" t="s">
        <v>227</v>
      </c>
    </row>
    <row r="34" spans="2:4" ht="57.75">
      <c r="B34" s="32">
        <v>33</v>
      </c>
      <c r="C34" s="34" t="s">
        <v>228</v>
      </c>
      <c r="D34" s="35" t="s">
        <v>229</v>
      </c>
    </row>
    <row r="35" spans="2:4" ht="57.75">
      <c r="B35" s="32">
        <v>34</v>
      </c>
      <c r="C35" s="34" t="s">
        <v>230</v>
      </c>
      <c r="D35" s="35" t="s">
        <v>231</v>
      </c>
    </row>
    <row r="36" spans="2:4" ht="29.25">
      <c r="B36" s="32">
        <v>35</v>
      </c>
      <c r="C36" s="36" t="s">
        <v>232</v>
      </c>
      <c r="D36" s="35" t="s">
        <v>233</v>
      </c>
    </row>
    <row r="37" spans="2:4" ht="16.5">
      <c r="B37" s="32">
        <v>36</v>
      </c>
      <c r="C37" s="34" t="s">
        <v>84</v>
      </c>
      <c r="D37" s="35" t="s">
        <v>234</v>
      </c>
    </row>
    <row r="38" spans="2:4" ht="29.25">
      <c r="B38" s="32">
        <v>37</v>
      </c>
      <c r="C38" s="34" t="s">
        <v>141</v>
      </c>
      <c r="D38" s="37" t="s">
        <v>235</v>
      </c>
    </row>
    <row r="39" spans="2:4" ht="16.5">
      <c r="B39" s="32">
        <v>38</v>
      </c>
      <c r="C39" s="34" t="s">
        <v>121</v>
      </c>
      <c r="D39" s="35" t="s">
        <v>236</v>
      </c>
    </row>
    <row r="40" spans="2:4" ht="16.5">
      <c r="B40" s="32">
        <v>39</v>
      </c>
      <c r="C40" s="34" t="s">
        <v>237</v>
      </c>
      <c r="D40" s="37" t="s">
        <v>238</v>
      </c>
    </row>
    <row r="41" spans="2:4" ht="16.5">
      <c r="B41" s="32">
        <v>40</v>
      </c>
      <c r="C41" s="34" t="s">
        <v>239</v>
      </c>
      <c r="D41" s="35" t="s">
        <v>240</v>
      </c>
    </row>
    <row r="42" spans="2:4" ht="16.5">
      <c r="B42" s="32">
        <v>41</v>
      </c>
      <c r="C42" s="34" t="s">
        <v>241</v>
      </c>
      <c r="D42" s="35" t="s">
        <v>242</v>
      </c>
    </row>
    <row r="43" spans="2:4" ht="29.25">
      <c r="B43" s="32">
        <v>42</v>
      </c>
      <c r="C43" s="34" t="s">
        <v>243</v>
      </c>
      <c r="D43" s="37" t="s">
        <v>244</v>
      </c>
    </row>
    <row r="44" spans="2:4" ht="16.5">
      <c r="B44" s="32">
        <v>43</v>
      </c>
      <c r="C44" s="34" t="s">
        <v>245</v>
      </c>
      <c r="D44" s="37" t="s">
        <v>246</v>
      </c>
    </row>
    <row r="45" spans="2:4" ht="16.5">
      <c r="B45" s="32">
        <v>44</v>
      </c>
      <c r="C45" s="34" t="s">
        <v>247</v>
      </c>
      <c r="D45" s="35" t="s">
        <v>248</v>
      </c>
    </row>
    <row r="46" spans="2:4" ht="16.5">
      <c r="B46" s="32">
        <v>45</v>
      </c>
      <c r="C46" s="34" t="s">
        <v>56</v>
      </c>
      <c r="D46" s="35" t="s">
        <v>249</v>
      </c>
    </row>
    <row r="47" spans="2:4" ht="16.5">
      <c r="B47" s="32">
        <v>46</v>
      </c>
      <c r="C47" s="34" t="s">
        <v>250</v>
      </c>
      <c r="D47" s="35" t="s">
        <v>251</v>
      </c>
    </row>
    <row r="48" spans="2:4" ht="16.5">
      <c r="B48" s="32">
        <v>47</v>
      </c>
      <c r="C48" s="34" t="s">
        <v>252</v>
      </c>
      <c r="D48" s="35" t="s">
        <v>253</v>
      </c>
    </row>
    <row r="49" spans="2:4" ht="16.5">
      <c r="B49" s="32">
        <v>48</v>
      </c>
      <c r="C49" s="34" t="s">
        <v>254</v>
      </c>
      <c r="D49" s="35" t="s">
        <v>255</v>
      </c>
    </row>
    <row r="50" spans="2:4" ht="16.5">
      <c r="B50" s="32">
        <v>49</v>
      </c>
      <c r="C50" s="34" t="s">
        <v>256</v>
      </c>
      <c r="D50" s="35" t="s">
        <v>257</v>
      </c>
    </row>
    <row r="51" spans="2:4" ht="16.5">
      <c r="B51" s="32">
        <v>50</v>
      </c>
      <c r="C51" s="34" t="s">
        <v>258</v>
      </c>
      <c r="D51" s="35" t="s">
        <v>259</v>
      </c>
    </row>
  </sheetData>
  <hyperlinks>
    <hyperlink ref="D18" r:id="rId1" xr:uid="{304ADE2D-8C36-4CFA-A82A-E80743EA6CE7}"/>
    <hyperlink ref="D19" r:id="rId2" xr:uid="{046AC2FF-29A5-496F-A808-3E602D9E0A05}"/>
    <hyperlink ref="D20" r:id="rId3" xr:uid="{55BF6EE5-61F2-4A5B-88A1-0B6100547022}"/>
    <hyperlink ref="D21" r:id="rId4" xr:uid="{701AC015-88F5-4470-9B9D-9CD4EB4CEE47}"/>
    <hyperlink ref="D22" r:id="rId5" xr:uid="{63BF1CA3-AD47-49A7-9F6E-498BA0571FAD}"/>
    <hyperlink ref="D23" r:id="rId6" xr:uid="{543EBCB5-A5F8-4D6D-9D67-96EC2B64492A}"/>
    <hyperlink ref="D24" r:id="rId7" xr:uid="{A8C618C3-12D2-4763-BA98-70D508D961BF}"/>
    <hyperlink ref="D25" r:id="rId8" xr:uid="{DA013E0C-412B-4ACC-9F2A-61CD48A1B3EE}"/>
    <hyperlink ref="D26" r:id="rId9" xr:uid="{A785F517-14CA-4AC7-AE19-CCFBCAF6B27E}"/>
    <hyperlink ref="D27" r:id="rId10" xr:uid="{095D769C-A6A0-4AC6-AEB5-35E80B653C3B}"/>
    <hyperlink ref="D28" r:id="rId11" xr:uid="{CB2475FA-AF84-4DD0-A950-ECF47F7603F7}"/>
    <hyperlink ref="D29" r:id="rId12" xr:uid="{3BB3E9DD-F58A-4AF1-A0AA-A675AE622E32}"/>
    <hyperlink ref="D30" r:id="rId13" xr:uid="{006CF0AB-1675-447E-858C-51CFE6416490}"/>
    <hyperlink ref="D31" r:id="rId14" xr:uid="{A14D4646-D66F-4EE4-B8DC-6D1194F280F0}"/>
    <hyperlink ref="D32" r:id="rId15" xr:uid="{92A2DF0F-8E7F-4CF2-8387-922335D72C9A}"/>
    <hyperlink ref="D33" r:id="rId16" xr:uid="{ADF163ED-B468-4C3C-9890-FB06B2D36EFF}"/>
    <hyperlink ref="D34" r:id="rId17" xr:uid="{5415C177-977C-4B04-AEC4-A69FF19769CE}"/>
    <hyperlink ref="D35" r:id="rId18" xr:uid="{DBA0C1FE-BA7C-422C-89DD-55B653191BF4}"/>
    <hyperlink ref="D36" r:id="rId19" xr:uid="{4D48DD94-7128-4791-B775-456932F72653}"/>
    <hyperlink ref="D37" r:id="rId20" xr:uid="{C56882AD-D168-47A3-A854-D477F64834CC}"/>
    <hyperlink ref="D38" r:id="rId21" xr:uid="{535061CD-B7FC-4D91-87E9-5DF91C70B800}"/>
    <hyperlink ref="D39" r:id="rId22" xr:uid="{52A61FC9-62CF-4B94-A940-1024C8A6F65A}"/>
    <hyperlink ref="D40" r:id="rId23" xr:uid="{259594E2-4739-427C-BD08-8C5DEA2FD32D}"/>
    <hyperlink ref="D41" r:id="rId24" xr:uid="{9AA513F1-1CA0-4B03-AA04-1FE8F94D3A8F}"/>
    <hyperlink ref="D42" r:id="rId25" xr:uid="{F4BBBFDE-880B-493F-A8FD-579DAC913F64}"/>
    <hyperlink ref="D43" r:id="rId26" xr:uid="{96E409F4-F250-47EB-BF2F-F208B18A4A25}"/>
    <hyperlink ref="D44" r:id="rId27" xr:uid="{075D412F-391D-45C6-959E-DEA42CEE73CB}"/>
    <hyperlink ref="D45" r:id="rId28" xr:uid="{DA00220A-DB8E-4890-BEC4-C2DABC8161F7}"/>
    <hyperlink ref="D46" r:id="rId29" xr:uid="{499014F9-C99F-4229-A920-6C8E6D0899E0}"/>
    <hyperlink ref="D47" r:id="rId30" xr:uid="{AC0ABC24-F245-491A-A8B5-0D851EF80DFE}"/>
    <hyperlink ref="D48" r:id="rId31" xr:uid="{774B0E12-A967-48E3-B759-27ED4F5DD7E6}"/>
    <hyperlink ref="D49" r:id="rId32" xr:uid="{F653F2D9-7AA9-4ABC-B155-06A2D969D59B}"/>
    <hyperlink ref="D50" r:id="rId33" xr:uid="{87F13030-7A70-485A-A1D6-E5F921ECFD72}"/>
    <hyperlink ref="D51" r:id="rId34" xr:uid="{04219991-77F5-410E-B2E6-91CFED58EF09}"/>
    <hyperlink ref="D2" r:id="rId35" xr:uid="{20E07E37-8C8E-4D91-B6DC-E3E910C8451C}"/>
    <hyperlink ref="D3" r:id="rId36" xr:uid="{726507C6-1DA1-4CAD-A37E-7BC8266C8BFB}"/>
    <hyperlink ref="D4" r:id="rId37" xr:uid="{8F8B599F-6F76-4996-A39E-7EA548BE79C9}"/>
    <hyperlink ref="D5" r:id="rId38" xr:uid="{D4BE6F70-0E1F-4738-851A-37D99F3FD548}"/>
    <hyperlink ref="D6" r:id="rId39" xr:uid="{50D4EBEE-5FC7-4415-9C6A-723D6FBA2116}"/>
    <hyperlink ref="D7" r:id="rId40" xr:uid="{C429C612-E916-4B0D-A032-2B9A0DBA97C7}"/>
    <hyperlink ref="D8" r:id="rId41" xr:uid="{675DD409-1852-4F5A-B448-C092770B1770}"/>
    <hyperlink ref="D9" r:id="rId42" xr:uid="{E3D0C566-7EAE-4AE4-B773-19BF4456C16C}"/>
    <hyperlink ref="D10" r:id="rId43" xr:uid="{C57D0CA4-8580-41BD-9B53-480F0DD12F31}"/>
    <hyperlink ref="D11" r:id="rId44" xr:uid="{3246394C-74CB-47D6-ABBE-E8FDBC0E0D3D}"/>
    <hyperlink ref="D12" r:id="rId45" xr:uid="{EA02FF63-9FC8-4E15-9D68-0163CFDE24E8}"/>
    <hyperlink ref="D13" r:id="rId46" xr:uid="{5EE5BB98-C3EC-427C-83DC-2ED2F0FD2EBF}"/>
    <hyperlink ref="D14" r:id="rId47" xr:uid="{85985ACD-9F58-492F-A809-EF387A9E3069}"/>
    <hyperlink ref="D15" r:id="rId48" xr:uid="{9650F168-471F-43DE-B5AA-0B80F219736C}"/>
    <hyperlink ref="D16" r:id="rId49" xr:uid="{3C740437-C651-4A3B-94F0-16481414C41F}"/>
    <hyperlink ref="D17" r:id="rId50" xr:uid="{C16EF78B-A8BB-452E-94F2-DD7EA29015C7}"/>
  </hyperlinks>
  <pageMargins left="0.7" right="0.7" top="0.75" bottom="0.75" header="0.3" footer="0.3"/>
  <tableParts count="1">
    <tablePart r:id="rId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workbookViewId="0">
      <pane ySplit="2" topLeftCell="A4" activePane="bottomLeft" state="frozen"/>
      <selection pane="bottomLeft"/>
    </sheetView>
  </sheetViews>
  <sheetFormatPr defaultRowHeight="15"/>
  <cols>
    <col min="1" max="1" width="6.42578125" style="6" customWidth="1"/>
    <col min="2" max="2" width="24" style="6" customWidth="1"/>
    <col min="3" max="3" width="30.5703125" style="6" customWidth="1"/>
    <col min="4" max="4" width="28.28515625" style="6" customWidth="1"/>
    <col min="5" max="5" width="19.85546875" style="6" customWidth="1"/>
    <col min="6" max="6" width="22.140625" style="6" customWidth="1"/>
    <col min="7" max="9" width="20" style="6" customWidth="1"/>
    <col min="10" max="10" width="24" style="6" customWidth="1"/>
    <col min="11" max="13" width="9.140625" style="6"/>
    <col min="14" max="14" width="14.85546875" style="6" customWidth="1"/>
    <col min="15" max="16384" width="9.140625" style="6"/>
  </cols>
  <sheetData>
    <row r="1" spans="1:15" ht="28.5">
      <c r="A1" s="5" t="s">
        <v>1</v>
      </c>
      <c r="B1" s="5" t="s">
        <v>260</v>
      </c>
      <c r="C1" s="5" t="s">
        <v>261</v>
      </c>
      <c r="D1" s="5" t="s">
        <v>262</v>
      </c>
      <c r="E1" s="5" t="s">
        <v>263</v>
      </c>
      <c r="F1" s="5" t="s">
        <v>264</v>
      </c>
      <c r="G1" s="5" t="s">
        <v>265</v>
      </c>
      <c r="H1" s="5" t="s">
        <v>266</v>
      </c>
      <c r="I1" s="5" t="s">
        <v>267</v>
      </c>
      <c r="J1" s="5" t="s">
        <v>268</v>
      </c>
    </row>
    <row r="2" spans="1:15" ht="40.5" hidden="1" customHeight="1">
      <c r="A2" s="8"/>
      <c r="B2" s="8" t="s">
        <v>269</v>
      </c>
      <c r="C2" s="9" t="s">
        <v>270</v>
      </c>
      <c r="D2" s="9" t="s">
        <v>271</v>
      </c>
      <c r="E2" s="9" t="s">
        <v>272</v>
      </c>
      <c r="F2" s="9" t="s">
        <v>273</v>
      </c>
      <c r="G2" s="9" t="s">
        <v>274</v>
      </c>
      <c r="H2" s="8" t="s">
        <v>275</v>
      </c>
      <c r="I2" s="8" t="s">
        <v>276</v>
      </c>
      <c r="J2" s="9"/>
    </row>
    <row r="3" spans="1:15" ht="60.75" hidden="1">
      <c r="A3" s="6">
        <v>1</v>
      </c>
      <c r="B3" s="6" t="s">
        <v>277</v>
      </c>
      <c r="C3" s="6" t="s">
        <v>278</v>
      </c>
      <c r="D3" s="6" t="s">
        <v>279</v>
      </c>
      <c r="E3" s="6" t="s">
        <v>280</v>
      </c>
      <c r="F3" s="7" t="s">
        <v>281</v>
      </c>
      <c r="G3" s="6" t="s">
        <v>282</v>
      </c>
      <c r="H3" s="6" t="s">
        <v>283</v>
      </c>
      <c r="I3" s="6" t="s">
        <v>284</v>
      </c>
      <c r="J3" s="6" t="s">
        <v>285</v>
      </c>
      <c r="N3" s="17" t="s">
        <v>282</v>
      </c>
      <c r="O3" s="6">
        <f>COUNTIF(G:G,"Required Qualifications")</f>
        <v>18</v>
      </c>
    </row>
    <row r="4" spans="1:15" ht="75.75">
      <c r="A4" s="6">
        <v>2</v>
      </c>
      <c r="B4" s="6" t="s">
        <v>286</v>
      </c>
      <c r="C4" s="6" t="s">
        <v>287</v>
      </c>
      <c r="D4" s="6" t="s">
        <v>288</v>
      </c>
      <c r="E4" s="6" t="s">
        <v>289</v>
      </c>
      <c r="F4" s="7" t="s">
        <v>290</v>
      </c>
      <c r="G4" s="6" t="s">
        <v>291</v>
      </c>
      <c r="H4" s="6" t="s">
        <v>283</v>
      </c>
      <c r="I4" s="6" t="s">
        <v>292</v>
      </c>
      <c r="J4" s="6" t="s">
        <v>293</v>
      </c>
      <c r="N4" s="17" t="s">
        <v>294</v>
      </c>
      <c r="O4" s="6">
        <f>COUNTIF(G:G,"Preferred Qualifications")</f>
        <v>81</v>
      </c>
    </row>
    <row r="5" spans="1:15" ht="106.5" hidden="1">
      <c r="A5" s="6">
        <v>3</v>
      </c>
      <c r="B5" s="10" t="s">
        <v>295</v>
      </c>
      <c r="C5" s="6" t="s">
        <v>296</v>
      </c>
      <c r="D5" s="6" t="s">
        <v>297</v>
      </c>
      <c r="E5" s="6" t="s">
        <v>298</v>
      </c>
      <c r="F5" s="7" t="s">
        <v>299</v>
      </c>
      <c r="G5" s="6" t="s">
        <v>294</v>
      </c>
      <c r="H5" s="6" t="s">
        <v>283</v>
      </c>
      <c r="I5" s="6" t="s">
        <v>284</v>
      </c>
    </row>
    <row r="6" spans="1:15" ht="75.75" hidden="1" customHeight="1">
      <c r="A6" s="6">
        <v>4</v>
      </c>
      <c r="B6" s="11" t="s">
        <v>300</v>
      </c>
      <c r="C6" s="6" t="s">
        <v>301</v>
      </c>
      <c r="D6" s="6" t="s">
        <v>302</v>
      </c>
      <c r="E6" s="6" t="s">
        <v>303</v>
      </c>
      <c r="F6" s="7" t="s">
        <v>304</v>
      </c>
      <c r="G6" s="6" t="s">
        <v>294</v>
      </c>
      <c r="H6" s="6" t="s">
        <v>283</v>
      </c>
      <c r="I6" s="6" t="s">
        <v>284</v>
      </c>
      <c r="J6" s="6" t="s">
        <v>305</v>
      </c>
    </row>
    <row r="7" spans="1:15" ht="121.5" hidden="1">
      <c r="A7" s="6">
        <v>5</v>
      </c>
      <c r="B7" s="6" t="s">
        <v>277</v>
      </c>
      <c r="C7" s="6" t="s">
        <v>306</v>
      </c>
      <c r="D7" s="6" t="s">
        <v>307</v>
      </c>
      <c r="E7" s="6" t="s">
        <v>308</v>
      </c>
      <c r="F7" s="7" t="s">
        <v>309</v>
      </c>
      <c r="G7" s="6" t="s">
        <v>294</v>
      </c>
      <c r="H7" s="6" t="s">
        <v>283</v>
      </c>
      <c r="I7" s="6" t="s">
        <v>284</v>
      </c>
      <c r="J7" s="6" t="s">
        <v>308</v>
      </c>
    </row>
    <row r="8" spans="1:15" ht="60.75" hidden="1">
      <c r="A8" s="6">
        <v>6</v>
      </c>
      <c r="B8" s="6" t="s">
        <v>310</v>
      </c>
      <c r="C8" s="6" t="s">
        <v>311</v>
      </c>
      <c r="D8" s="6" t="s">
        <v>279</v>
      </c>
      <c r="E8" s="6" t="s">
        <v>312</v>
      </c>
      <c r="F8" s="7" t="s">
        <v>313</v>
      </c>
      <c r="G8" s="6" t="s">
        <v>294</v>
      </c>
      <c r="H8" s="6" t="s">
        <v>283</v>
      </c>
      <c r="I8" s="6" t="s">
        <v>284</v>
      </c>
      <c r="J8" s="12" t="s">
        <v>314</v>
      </c>
    </row>
    <row r="9" spans="1:15" ht="90.75" hidden="1">
      <c r="A9" s="6">
        <v>7</v>
      </c>
      <c r="B9" s="6" t="s">
        <v>310</v>
      </c>
      <c r="C9" s="6" t="s">
        <v>315</v>
      </c>
      <c r="D9" s="6" t="s">
        <v>279</v>
      </c>
      <c r="E9" s="6" t="s">
        <v>316</v>
      </c>
      <c r="F9" s="7" t="s">
        <v>317</v>
      </c>
      <c r="G9" s="6" t="s">
        <v>282</v>
      </c>
      <c r="H9" s="6" t="s">
        <v>283</v>
      </c>
      <c r="I9" s="6" t="s">
        <v>284</v>
      </c>
      <c r="J9" s="6" t="s">
        <v>318</v>
      </c>
    </row>
    <row r="10" spans="1:15" ht="45.75" hidden="1">
      <c r="A10" s="6">
        <v>8</v>
      </c>
      <c r="B10" s="6" t="s">
        <v>319</v>
      </c>
      <c r="C10" s="6" t="s">
        <v>320</v>
      </c>
      <c r="D10" s="6" t="s">
        <v>321</v>
      </c>
      <c r="E10" s="6" t="s">
        <v>322</v>
      </c>
      <c r="F10" s="7" t="s">
        <v>323</v>
      </c>
      <c r="G10" s="6" t="s">
        <v>294</v>
      </c>
      <c r="H10" s="6" t="s">
        <v>283</v>
      </c>
      <c r="I10" s="6" t="s">
        <v>284</v>
      </c>
      <c r="J10" s="6" t="s">
        <v>322</v>
      </c>
    </row>
    <row r="11" spans="1:15" ht="101.25" hidden="1" customHeight="1">
      <c r="A11" s="6">
        <v>9</v>
      </c>
      <c r="B11" s="6" t="s">
        <v>324</v>
      </c>
      <c r="C11" s="6" t="s">
        <v>325</v>
      </c>
      <c r="D11" s="6" t="s">
        <v>302</v>
      </c>
      <c r="E11" s="6" t="s">
        <v>326</v>
      </c>
      <c r="F11" s="7" t="s">
        <v>327</v>
      </c>
      <c r="G11" s="6" t="s">
        <v>294</v>
      </c>
      <c r="H11" s="6" t="s">
        <v>283</v>
      </c>
      <c r="I11" s="6" t="s">
        <v>284</v>
      </c>
    </row>
    <row r="12" spans="1:15" ht="60.75" hidden="1">
      <c r="A12" s="6">
        <v>10</v>
      </c>
      <c r="B12" s="6" t="s">
        <v>310</v>
      </c>
      <c r="C12" s="6" t="s">
        <v>328</v>
      </c>
      <c r="D12" s="6" t="s">
        <v>302</v>
      </c>
      <c r="E12" s="6" t="s">
        <v>329</v>
      </c>
      <c r="F12" s="7" t="s">
        <v>330</v>
      </c>
      <c r="G12" s="6" t="s">
        <v>294</v>
      </c>
      <c r="H12" s="6" t="s">
        <v>283</v>
      </c>
      <c r="I12" s="6" t="s">
        <v>284</v>
      </c>
      <c r="J12" s="6" t="s">
        <v>331</v>
      </c>
    </row>
    <row r="13" spans="1:15" ht="75.75">
      <c r="A13" s="6">
        <v>11</v>
      </c>
      <c r="B13" s="6" t="s">
        <v>310</v>
      </c>
      <c r="C13" s="13" t="s">
        <v>332</v>
      </c>
      <c r="D13" s="6" t="s">
        <v>279</v>
      </c>
      <c r="E13" s="6" t="s">
        <v>333</v>
      </c>
      <c r="F13" s="7" t="s">
        <v>334</v>
      </c>
      <c r="G13" s="6" t="s">
        <v>282</v>
      </c>
      <c r="H13" s="6" t="s">
        <v>283</v>
      </c>
      <c r="I13" s="6" t="s">
        <v>292</v>
      </c>
      <c r="J13" s="6" t="s">
        <v>333</v>
      </c>
    </row>
    <row r="14" spans="1:15" hidden="1">
      <c r="A14" s="6">
        <v>12</v>
      </c>
      <c r="B14" s="6" t="s">
        <v>277</v>
      </c>
      <c r="C14" s="14" t="s">
        <v>335</v>
      </c>
      <c r="D14" s="14" t="s">
        <v>336</v>
      </c>
      <c r="E14" s="14" t="s">
        <v>280</v>
      </c>
      <c r="F14" s="15" t="s">
        <v>337</v>
      </c>
      <c r="G14" s="14" t="s">
        <v>294</v>
      </c>
      <c r="H14" s="6" t="s">
        <v>283</v>
      </c>
      <c r="I14" s="6" t="s">
        <v>284</v>
      </c>
      <c r="J14" s="6" t="s">
        <v>338</v>
      </c>
    </row>
    <row r="15" spans="1:15" ht="60.75" hidden="1">
      <c r="A15" s="6">
        <v>13</v>
      </c>
      <c r="B15" s="6" t="s">
        <v>277</v>
      </c>
      <c r="C15" s="6" t="s">
        <v>339</v>
      </c>
      <c r="D15" s="6" t="s">
        <v>340</v>
      </c>
      <c r="E15" s="6" t="s">
        <v>280</v>
      </c>
      <c r="F15" s="7" t="s">
        <v>341</v>
      </c>
      <c r="G15" s="6" t="s">
        <v>294</v>
      </c>
      <c r="H15" s="6" t="s">
        <v>283</v>
      </c>
      <c r="I15" s="6" t="s">
        <v>284</v>
      </c>
      <c r="J15" s="6" t="s">
        <v>338</v>
      </c>
    </row>
    <row r="16" spans="1:15" ht="45.75">
      <c r="A16" s="6">
        <v>14</v>
      </c>
      <c r="B16" s="6" t="s">
        <v>277</v>
      </c>
      <c r="C16" s="6" t="s">
        <v>342</v>
      </c>
      <c r="D16" s="6" t="s">
        <v>343</v>
      </c>
      <c r="E16" s="6" t="s">
        <v>280</v>
      </c>
      <c r="F16" s="7" t="s">
        <v>344</v>
      </c>
      <c r="G16" s="6" t="s">
        <v>294</v>
      </c>
      <c r="H16" s="6" t="s">
        <v>283</v>
      </c>
      <c r="I16" s="6" t="s">
        <v>292</v>
      </c>
      <c r="J16" s="6" t="s">
        <v>345</v>
      </c>
    </row>
    <row r="17" spans="1:10" ht="60.75" hidden="1">
      <c r="A17" s="6">
        <v>15</v>
      </c>
      <c r="B17" s="6" t="s">
        <v>310</v>
      </c>
      <c r="C17" s="6" t="s">
        <v>346</v>
      </c>
      <c r="D17" s="6" t="s">
        <v>279</v>
      </c>
      <c r="E17" s="6" t="s">
        <v>347</v>
      </c>
      <c r="F17" s="7" t="s">
        <v>348</v>
      </c>
      <c r="G17" s="6" t="s">
        <v>294</v>
      </c>
      <c r="H17" s="6" t="s">
        <v>283</v>
      </c>
      <c r="I17" s="6" t="s">
        <v>284</v>
      </c>
      <c r="J17" s="6" t="s">
        <v>338</v>
      </c>
    </row>
    <row r="18" spans="1:10" ht="60.75" hidden="1">
      <c r="A18" s="6">
        <v>16</v>
      </c>
      <c r="B18" s="6" t="s">
        <v>310</v>
      </c>
      <c r="C18" s="6" t="s">
        <v>349</v>
      </c>
      <c r="D18" s="6" t="s">
        <v>279</v>
      </c>
      <c r="E18" s="6" t="s">
        <v>350</v>
      </c>
      <c r="F18" s="7" t="s">
        <v>351</v>
      </c>
      <c r="G18" s="6" t="s">
        <v>294</v>
      </c>
      <c r="H18" s="6" t="s">
        <v>283</v>
      </c>
      <c r="I18" s="6" t="s">
        <v>284</v>
      </c>
      <c r="J18" s="6" t="s">
        <v>352</v>
      </c>
    </row>
    <row r="19" spans="1:10" ht="90.75" hidden="1">
      <c r="A19" s="6">
        <v>17</v>
      </c>
      <c r="B19" s="6" t="s">
        <v>310</v>
      </c>
      <c r="C19" s="6" t="s">
        <v>353</v>
      </c>
      <c r="D19" s="6" t="s">
        <v>279</v>
      </c>
      <c r="E19" s="6" t="s">
        <v>350</v>
      </c>
      <c r="F19" s="7" t="s">
        <v>354</v>
      </c>
      <c r="G19" s="6" t="s">
        <v>294</v>
      </c>
      <c r="H19" s="6" t="s">
        <v>283</v>
      </c>
      <c r="I19" s="6" t="s">
        <v>284</v>
      </c>
      <c r="J19" s="6" t="s">
        <v>352</v>
      </c>
    </row>
    <row r="20" spans="1:10" ht="60.75" hidden="1">
      <c r="A20" s="6">
        <v>18</v>
      </c>
      <c r="B20" s="6" t="s">
        <v>310</v>
      </c>
      <c r="C20" s="6" t="s">
        <v>355</v>
      </c>
      <c r="D20" s="6" t="s">
        <v>356</v>
      </c>
      <c r="E20" s="6" t="s">
        <v>357</v>
      </c>
      <c r="F20" s="7" t="s">
        <v>358</v>
      </c>
      <c r="G20" s="6" t="s">
        <v>294</v>
      </c>
      <c r="H20" s="6" t="s">
        <v>283</v>
      </c>
      <c r="I20" s="6" t="s">
        <v>284</v>
      </c>
      <c r="J20" s="6" t="s">
        <v>338</v>
      </c>
    </row>
    <row r="21" spans="1:10" ht="45.75">
      <c r="A21" s="6">
        <v>19</v>
      </c>
      <c r="B21" s="6" t="s">
        <v>310</v>
      </c>
      <c r="C21" s="6" t="s">
        <v>359</v>
      </c>
      <c r="D21" s="6" t="s">
        <v>360</v>
      </c>
      <c r="E21" s="6" t="s">
        <v>361</v>
      </c>
      <c r="F21" s="7" t="s">
        <v>362</v>
      </c>
      <c r="G21" s="6" t="s">
        <v>294</v>
      </c>
      <c r="H21" s="6" t="s">
        <v>283</v>
      </c>
      <c r="I21" s="6" t="s">
        <v>292</v>
      </c>
      <c r="J21" s="6" t="s">
        <v>363</v>
      </c>
    </row>
    <row r="22" spans="1:10" ht="45.75" hidden="1">
      <c r="A22" s="6">
        <v>20</v>
      </c>
      <c r="B22" s="6" t="s">
        <v>310</v>
      </c>
      <c r="C22" s="6" t="s">
        <v>364</v>
      </c>
      <c r="D22" s="6" t="s">
        <v>365</v>
      </c>
      <c r="E22" s="6" t="s">
        <v>350</v>
      </c>
      <c r="F22" s="7" t="s">
        <v>366</v>
      </c>
      <c r="G22" s="6" t="s">
        <v>294</v>
      </c>
      <c r="H22" s="6" t="s">
        <v>283</v>
      </c>
      <c r="I22" s="6" t="s">
        <v>284</v>
      </c>
      <c r="J22" s="6" t="s">
        <v>367</v>
      </c>
    </row>
    <row r="23" spans="1:10" ht="60.75">
      <c r="A23" s="6">
        <v>21</v>
      </c>
      <c r="B23" s="6" t="s">
        <v>310</v>
      </c>
      <c r="C23" s="6" t="s">
        <v>368</v>
      </c>
      <c r="D23" s="6" t="s">
        <v>307</v>
      </c>
      <c r="E23" s="6" t="s">
        <v>350</v>
      </c>
      <c r="F23" s="7" t="s">
        <v>369</v>
      </c>
      <c r="G23" s="6" t="s">
        <v>294</v>
      </c>
      <c r="H23" s="6" t="s">
        <v>283</v>
      </c>
      <c r="I23" s="6" t="s">
        <v>292</v>
      </c>
      <c r="J23" s="6" t="s">
        <v>370</v>
      </c>
    </row>
    <row r="24" spans="1:10" ht="60.75" hidden="1">
      <c r="A24" s="6">
        <v>22</v>
      </c>
      <c r="B24" s="6" t="s">
        <v>310</v>
      </c>
      <c r="C24" s="6" t="s">
        <v>371</v>
      </c>
      <c r="D24" s="6" t="s">
        <v>307</v>
      </c>
      <c r="E24" s="6" t="s">
        <v>347</v>
      </c>
      <c r="F24" s="7" t="s">
        <v>372</v>
      </c>
      <c r="G24" s="6" t="s">
        <v>294</v>
      </c>
      <c r="H24" s="6" t="s">
        <v>283</v>
      </c>
      <c r="I24" s="6" t="s">
        <v>284</v>
      </c>
      <c r="J24" s="6" t="s">
        <v>370</v>
      </c>
    </row>
    <row r="25" spans="1:10" ht="60.75" hidden="1">
      <c r="A25" s="6">
        <v>23</v>
      </c>
      <c r="B25" s="6" t="s">
        <v>310</v>
      </c>
      <c r="C25" s="6" t="s">
        <v>373</v>
      </c>
      <c r="D25" s="6" t="s">
        <v>279</v>
      </c>
      <c r="E25" s="6" t="s">
        <v>347</v>
      </c>
      <c r="F25" s="7" t="s">
        <v>374</v>
      </c>
      <c r="G25" s="6" t="s">
        <v>294</v>
      </c>
      <c r="H25" s="6" t="s">
        <v>283</v>
      </c>
      <c r="I25" s="6" t="s">
        <v>284</v>
      </c>
      <c r="J25" s="6" t="s">
        <v>375</v>
      </c>
    </row>
    <row r="26" spans="1:10" ht="75.75" hidden="1">
      <c r="A26" s="6">
        <v>24</v>
      </c>
      <c r="B26" s="6" t="s">
        <v>310</v>
      </c>
      <c r="C26" s="6" t="s">
        <v>376</v>
      </c>
      <c r="D26" s="6" t="s">
        <v>377</v>
      </c>
      <c r="E26" s="6" t="s">
        <v>347</v>
      </c>
      <c r="F26" s="7" t="s">
        <v>378</v>
      </c>
      <c r="G26" s="6" t="s">
        <v>294</v>
      </c>
      <c r="H26" s="6" t="s">
        <v>283</v>
      </c>
      <c r="I26" s="6" t="s">
        <v>284</v>
      </c>
      <c r="J26" s="6" t="s">
        <v>379</v>
      </c>
    </row>
    <row r="27" spans="1:10" ht="60.75" hidden="1">
      <c r="A27" s="6">
        <v>25</v>
      </c>
      <c r="B27" s="6" t="s">
        <v>310</v>
      </c>
      <c r="C27" s="6" t="s">
        <v>380</v>
      </c>
      <c r="D27" s="6" t="s">
        <v>307</v>
      </c>
      <c r="E27" s="6" t="s">
        <v>347</v>
      </c>
      <c r="F27" s="7" t="s">
        <v>381</v>
      </c>
      <c r="G27" s="6" t="s">
        <v>294</v>
      </c>
      <c r="H27" s="6" t="s">
        <v>283</v>
      </c>
      <c r="I27" s="6" t="s">
        <v>284</v>
      </c>
      <c r="J27" s="6" t="s">
        <v>382</v>
      </c>
    </row>
    <row r="28" spans="1:10" ht="75.75" hidden="1">
      <c r="A28" s="6">
        <v>26</v>
      </c>
      <c r="B28" s="6" t="s">
        <v>319</v>
      </c>
      <c r="C28" s="6" t="s">
        <v>383</v>
      </c>
      <c r="D28" s="6" t="s">
        <v>307</v>
      </c>
      <c r="E28" s="6" t="s">
        <v>384</v>
      </c>
      <c r="F28" s="7" t="s">
        <v>385</v>
      </c>
      <c r="G28" s="6" t="s">
        <v>294</v>
      </c>
      <c r="H28" s="6" t="s">
        <v>283</v>
      </c>
      <c r="I28" s="6" t="s">
        <v>284</v>
      </c>
      <c r="J28" s="6" t="s">
        <v>386</v>
      </c>
    </row>
    <row r="29" spans="1:10" ht="90.75" hidden="1">
      <c r="A29" s="6">
        <v>27</v>
      </c>
      <c r="B29" s="6" t="s">
        <v>319</v>
      </c>
      <c r="C29" s="6" t="s">
        <v>387</v>
      </c>
      <c r="D29" s="6" t="s">
        <v>307</v>
      </c>
      <c r="E29" s="6" t="s">
        <v>384</v>
      </c>
      <c r="F29" s="7" t="s">
        <v>388</v>
      </c>
      <c r="G29" s="6" t="s">
        <v>294</v>
      </c>
      <c r="H29" s="6" t="s">
        <v>283</v>
      </c>
      <c r="I29" s="6" t="s">
        <v>284</v>
      </c>
      <c r="J29" s="6" t="s">
        <v>370</v>
      </c>
    </row>
    <row r="30" spans="1:10" ht="75.75" hidden="1">
      <c r="A30" s="6">
        <v>28</v>
      </c>
      <c r="B30" s="6" t="s">
        <v>319</v>
      </c>
      <c r="C30" s="6" t="s">
        <v>389</v>
      </c>
      <c r="D30" s="6" t="s">
        <v>390</v>
      </c>
      <c r="E30" s="6" t="s">
        <v>391</v>
      </c>
      <c r="F30" s="7" t="s">
        <v>392</v>
      </c>
      <c r="G30" s="6" t="s">
        <v>294</v>
      </c>
      <c r="H30" s="6" t="s">
        <v>283</v>
      </c>
      <c r="I30" s="6" t="s">
        <v>284</v>
      </c>
      <c r="J30" s="6" t="s">
        <v>370</v>
      </c>
    </row>
    <row r="31" spans="1:10" ht="75.75" hidden="1">
      <c r="A31" s="6">
        <v>29</v>
      </c>
      <c r="B31" s="6" t="s">
        <v>319</v>
      </c>
      <c r="C31" s="6" t="s">
        <v>393</v>
      </c>
      <c r="D31" s="6" t="s">
        <v>390</v>
      </c>
      <c r="E31" s="6" t="s">
        <v>391</v>
      </c>
      <c r="F31" s="7" t="s">
        <v>394</v>
      </c>
      <c r="G31" s="6" t="s">
        <v>294</v>
      </c>
      <c r="H31" s="6" t="s">
        <v>283</v>
      </c>
      <c r="I31" s="6" t="s">
        <v>284</v>
      </c>
      <c r="J31" s="6" t="s">
        <v>370</v>
      </c>
    </row>
    <row r="32" spans="1:10" ht="75.75" hidden="1">
      <c r="A32" s="6">
        <v>30</v>
      </c>
      <c r="B32" s="6" t="s">
        <v>324</v>
      </c>
      <c r="C32" s="6" t="s">
        <v>395</v>
      </c>
      <c r="D32" s="6" t="s">
        <v>396</v>
      </c>
      <c r="E32" s="6" t="s">
        <v>397</v>
      </c>
      <c r="F32" s="7" t="s">
        <v>398</v>
      </c>
      <c r="G32" s="6" t="s">
        <v>294</v>
      </c>
      <c r="H32" s="6" t="s">
        <v>283</v>
      </c>
      <c r="I32" s="6" t="s">
        <v>284</v>
      </c>
      <c r="J32" s="6" t="s">
        <v>399</v>
      </c>
    </row>
    <row r="33" spans="1:10" ht="60.75" hidden="1">
      <c r="A33" s="6">
        <v>31</v>
      </c>
      <c r="B33" s="6" t="s">
        <v>324</v>
      </c>
      <c r="C33" s="6" t="s">
        <v>400</v>
      </c>
      <c r="D33" s="6" t="s">
        <v>396</v>
      </c>
      <c r="E33" s="6" t="s">
        <v>397</v>
      </c>
      <c r="F33" s="7" t="s">
        <v>401</v>
      </c>
      <c r="G33" s="6" t="s">
        <v>294</v>
      </c>
      <c r="H33" s="6" t="s">
        <v>283</v>
      </c>
      <c r="I33" s="6" t="s">
        <v>284</v>
      </c>
      <c r="J33" s="6" t="s">
        <v>399</v>
      </c>
    </row>
    <row r="34" spans="1:10" ht="60.75" hidden="1">
      <c r="A34" s="6">
        <v>32</v>
      </c>
      <c r="B34" s="6" t="s">
        <v>324</v>
      </c>
      <c r="C34" s="6" t="s">
        <v>402</v>
      </c>
      <c r="D34" s="6" t="s">
        <v>396</v>
      </c>
      <c r="E34" s="6" t="s">
        <v>397</v>
      </c>
      <c r="F34" s="7" t="s">
        <v>304</v>
      </c>
      <c r="G34" s="6" t="s">
        <v>294</v>
      </c>
      <c r="H34" s="6" t="s">
        <v>283</v>
      </c>
      <c r="I34" s="6" t="s">
        <v>284</v>
      </c>
      <c r="J34" s="6" t="s">
        <v>403</v>
      </c>
    </row>
    <row r="35" spans="1:10" ht="60.75" hidden="1">
      <c r="A35" s="6">
        <v>33</v>
      </c>
      <c r="B35" s="6" t="s">
        <v>324</v>
      </c>
      <c r="C35" s="6" t="s">
        <v>404</v>
      </c>
      <c r="D35" s="6" t="s">
        <v>396</v>
      </c>
      <c r="E35" s="6" t="s">
        <v>397</v>
      </c>
      <c r="F35" s="7" t="s">
        <v>405</v>
      </c>
      <c r="G35" s="6" t="s">
        <v>294</v>
      </c>
      <c r="H35" s="6" t="s">
        <v>283</v>
      </c>
      <c r="I35" s="6" t="s">
        <v>284</v>
      </c>
      <c r="J35" s="6" t="s">
        <v>406</v>
      </c>
    </row>
    <row r="36" spans="1:10" ht="30" hidden="1">
      <c r="A36" s="6">
        <v>34</v>
      </c>
      <c r="B36" s="6" t="s">
        <v>324</v>
      </c>
      <c r="C36" s="6" t="s">
        <v>407</v>
      </c>
      <c r="D36" s="6" t="s">
        <v>396</v>
      </c>
      <c r="E36" s="6" t="s">
        <v>408</v>
      </c>
      <c r="F36" s="18" t="s">
        <v>409</v>
      </c>
      <c r="G36" s="6" t="s">
        <v>294</v>
      </c>
      <c r="H36" s="6" t="s">
        <v>283</v>
      </c>
      <c r="I36" s="6" t="s">
        <v>284</v>
      </c>
      <c r="J36" s="6" t="s">
        <v>410</v>
      </c>
    </row>
    <row r="37" spans="1:10" ht="60.75" hidden="1">
      <c r="A37" s="6">
        <v>35</v>
      </c>
      <c r="B37" s="6" t="s">
        <v>324</v>
      </c>
      <c r="C37" s="6" t="s">
        <v>411</v>
      </c>
      <c r="D37" s="6" t="s">
        <v>396</v>
      </c>
      <c r="E37" s="6" t="s">
        <v>408</v>
      </c>
      <c r="F37" s="7" t="s">
        <v>412</v>
      </c>
      <c r="G37" s="6" t="s">
        <v>294</v>
      </c>
      <c r="H37" s="6" t="s">
        <v>283</v>
      </c>
      <c r="I37" s="6" t="s">
        <v>284</v>
      </c>
      <c r="J37" s="6" t="s">
        <v>410</v>
      </c>
    </row>
    <row r="38" spans="1:10" ht="60.75" hidden="1">
      <c r="A38" s="6">
        <v>36</v>
      </c>
      <c r="B38" s="6" t="s">
        <v>413</v>
      </c>
      <c r="C38" s="6" t="s">
        <v>414</v>
      </c>
      <c r="D38" s="6" t="s">
        <v>415</v>
      </c>
      <c r="E38" s="6" t="s">
        <v>416</v>
      </c>
      <c r="F38" s="7" t="s">
        <v>417</v>
      </c>
      <c r="G38" s="6" t="s">
        <v>294</v>
      </c>
      <c r="H38" s="6" t="s">
        <v>283</v>
      </c>
      <c r="I38" s="6" t="s">
        <v>284</v>
      </c>
      <c r="J38" s="6" t="s">
        <v>418</v>
      </c>
    </row>
    <row r="39" spans="1:10" ht="60.75" hidden="1">
      <c r="A39" s="6">
        <v>37</v>
      </c>
      <c r="B39" s="6" t="s">
        <v>413</v>
      </c>
      <c r="C39" s="6" t="s">
        <v>419</v>
      </c>
      <c r="D39" s="6" t="s">
        <v>415</v>
      </c>
      <c r="E39" s="6" t="s">
        <v>416</v>
      </c>
      <c r="F39" s="7" t="s">
        <v>420</v>
      </c>
      <c r="G39" s="6" t="s">
        <v>294</v>
      </c>
      <c r="H39" s="6" t="s">
        <v>283</v>
      </c>
      <c r="I39" s="6" t="s">
        <v>284</v>
      </c>
      <c r="J39" s="6" t="s">
        <v>421</v>
      </c>
    </row>
    <row r="40" spans="1:10" ht="75.75" hidden="1">
      <c r="A40" s="6">
        <v>38</v>
      </c>
      <c r="B40" s="6" t="s">
        <v>413</v>
      </c>
      <c r="C40" s="6" t="s">
        <v>422</v>
      </c>
      <c r="D40" s="6" t="s">
        <v>415</v>
      </c>
      <c r="E40" s="6" t="s">
        <v>416</v>
      </c>
      <c r="F40" s="7" t="s">
        <v>423</v>
      </c>
      <c r="G40" s="6" t="s">
        <v>294</v>
      </c>
      <c r="H40" s="6" t="s">
        <v>283</v>
      </c>
      <c r="I40" s="6" t="s">
        <v>284</v>
      </c>
      <c r="J40" s="6" t="s">
        <v>421</v>
      </c>
    </row>
    <row r="41" spans="1:10" ht="60.75">
      <c r="A41" s="6">
        <v>39</v>
      </c>
      <c r="B41" s="6" t="s">
        <v>413</v>
      </c>
      <c r="C41" s="6" t="s">
        <v>424</v>
      </c>
      <c r="D41" s="6" t="s">
        <v>425</v>
      </c>
      <c r="E41" s="6" t="s">
        <v>426</v>
      </c>
      <c r="F41" s="7" t="s">
        <v>427</v>
      </c>
      <c r="G41" s="6" t="s">
        <v>294</v>
      </c>
      <c r="H41" s="6" t="s">
        <v>283</v>
      </c>
      <c r="I41" s="6" t="s">
        <v>292</v>
      </c>
      <c r="J41" s="6" t="s">
        <v>428</v>
      </c>
    </row>
    <row r="42" spans="1:10" ht="60.75" hidden="1">
      <c r="A42" s="6">
        <v>40</v>
      </c>
      <c r="B42" s="6" t="s">
        <v>413</v>
      </c>
      <c r="C42" s="6" t="s">
        <v>429</v>
      </c>
      <c r="D42" s="6" t="s">
        <v>415</v>
      </c>
      <c r="E42" s="6" t="s">
        <v>426</v>
      </c>
      <c r="F42" s="7" t="s">
        <v>430</v>
      </c>
      <c r="G42" s="6" t="s">
        <v>294</v>
      </c>
      <c r="H42" s="6" t="s">
        <v>283</v>
      </c>
      <c r="I42" s="6" t="s">
        <v>284</v>
      </c>
      <c r="J42" s="6" t="s">
        <v>431</v>
      </c>
    </row>
    <row r="43" spans="1:10" ht="30" hidden="1">
      <c r="A43" s="6">
        <v>41</v>
      </c>
      <c r="B43" s="6" t="s">
        <v>277</v>
      </c>
      <c r="C43" s="14" t="s">
        <v>432</v>
      </c>
      <c r="D43" s="14" t="s">
        <v>433</v>
      </c>
      <c r="E43" s="14" t="s">
        <v>280</v>
      </c>
      <c r="F43" s="15" t="s">
        <v>434</v>
      </c>
      <c r="G43" s="14" t="s">
        <v>282</v>
      </c>
      <c r="H43" s="14" t="s">
        <v>435</v>
      </c>
      <c r="I43" s="14" t="s">
        <v>292</v>
      </c>
      <c r="J43" s="6" t="s">
        <v>436</v>
      </c>
    </row>
    <row r="44" spans="1:10" ht="60.75" hidden="1">
      <c r="A44" s="6">
        <v>42</v>
      </c>
      <c r="B44" s="6" t="s">
        <v>277</v>
      </c>
      <c r="C44" s="6" t="s">
        <v>437</v>
      </c>
      <c r="D44" s="6" t="s">
        <v>433</v>
      </c>
      <c r="E44" s="6" t="s">
        <v>280</v>
      </c>
      <c r="F44" s="7" t="s">
        <v>438</v>
      </c>
      <c r="G44" s="6" t="s">
        <v>282</v>
      </c>
      <c r="H44" s="14" t="s">
        <v>435</v>
      </c>
      <c r="I44" s="6" t="s">
        <v>292</v>
      </c>
      <c r="J44" s="6" t="s">
        <v>439</v>
      </c>
    </row>
    <row r="45" spans="1:10" ht="60.75" hidden="1">
      <c r="A45" s="6">
        <v>43</v>
      </c>
      <c r="B45" s="6" t="s">
        <v>440</v>
      </c>
      <c r="C45" s="6" t="s">
        <v>441</v>
      </c>
      <c r="D45" s="6" t="s">
        <v>442</v>
      </c>
      <c r="E45" s="6" t="s">
        <v>408</v>
      </c>
      <c r="F45" s="7" t="s">
        <v>443</v>
      </c>
      <c r="G45" s="6" t="s">
        <v>282</v>
      </c>
      <c r="H45" s="14" t="s">
        <v>435</v>
      </c>
      <c r="I45" s="6" t="s">
        <v>292</v>
      </c>
      <c r="J45" s="6" t="s">
        <v>444</v>
      </c>
    </row>
    <row r="46" spans="1:10" ht="45.75" hidden="1">
      <c r="A46" s="6">
        <v>44</v>
      </c>
      <c r="B46" s="6" t="s">
        <v>445</v>
      </c>
      <c r="C46" s="6" t="s">
        <v>446</v>
      </c>
      <c r="D46" s="6" t="s">
        <v>447</v>
      </c>
      <c r="E46" s="6" t="s">
        <v>347</v>
      </c>
      <c r="F46" s="7" t="s">
        <v>448</v>
      </c>
      <c r="G46" s="6" t="s">
        <v>282</v>
      </c>
      <c r="H46" s="14" t="s">
        <v>435</v>
      </c>
      <c r="I46" s="6" t="s">
        <v>292</v>
      </c>
      <c r="J46" s="6" t="s">
        <v>449</v>
      </c>
    </row>
    <row r="47" spans="1:10" ht="60.75" hidden="1">
      <c r="A47" s="6">
        <v>45</v>
      </c>
      <c r="B47" s="6" t="s">
        <v>445</v>
      </c>
      <c r="C47" s="6" t="s">
        <v>450</v>
      </c>
      <c r="D47" s="6" t="s">
        <v>447</v>
      </c>
      <c r="E47" s="6" t="s">
        <v>347</v>
      </c>
      <c r="F47" s="7" t="s">
        <v>451</v>
      </c>
      <c r="G47" s="6" t="s">
        <v>294</v>
      </c>
      <c r="H47" s="14" t="s">
        <v>435</v>
      </c>
      <c r="I47" s="6" t="s">
        <v>284</v>
      </c>
      <c r="J47" s="6" t="s">
        <v>452</v>
      </c>
    </row>
    <row r="48" spans="1:10" ht="60.75" hidden="1">
      <c r="A48" s="6">
        <v>46</v>
      </c>
      <c r="B48" s="6" t="s">
        <v>319</v>
      </c>
      <c r="C48" s="6" t="s">
        <v>453</v>
      </c>
      <c r="D48" s="6" t="s">
        <v>454</v>
      </c>
      <c r="E48" s="6" t="s">
        <v>455</v>
      </c>
      <c r="F48" s="7" t="s">
        <v>456</v>
      </c>
      <c r="G48" s="6" t="s">
        <v>294</v>
      </c>
      <c r="H48" s="14" t="s">
        <v>435</v>
      </c>
      <c r="I48" s="6" t="s">
        <v>284</v>
      </c>
      <c r="J48" s="6" t="s">
        <v>457</v>
      </c>
    </row>
    <row r="49" spans="1:10" ht="60.75" hidden="1">
      <c r="A49" s="6">
        <v>47</v>
      </c>
      <c r="B49" s="6" t="s">
        <v>440</v>
      </c>
      <c r="C49" s="6" t="s">
        <v>458</v>
      </c>
      <c r="D49" s="6" t="s">
        <v>459</v>
      </c>
      <c r="E49" s="6" t="s">
        <v>460</v>
      </c>
      <c r="F49" s="7" t="s">
        <v>461</v>
      </c>
      <c r="G49" s="6" t="s">
        <v>282</v>
      </c>
      <c r="H49" s="14" t="s">
        <v>435</v>
      </c>
      <c r="I49" s="6" t="s">
        <v>292</v>
      </c>
      <c r="J49" s="6" t="s">
        <v>462</v>
      </c>
    </row>
    <row r="50" spans="1:10" ht="60.75" hidden="1">
      <c r="A50" s="6">
        <v>48</v>
      </c>
      <c r="B50" s="6" t="s">
        <v>440</v>
      </c>
      <c r="C50" s="6" t="s">
        <v>463</v>
      </c>
      <c r="D50" s="6" t="s">
        <v>464</v>
      </c>
      <c r="E50" s="6" t="s">
        <v>397</v>
      </c>
      <c r="F50" s="7" t="s">
        <v>465</v>
      </c>
      <c r="G50" s="6" t="s">
        <v>294</v>
      </c>
      <c r="H50" s="14" t="s">
        <v>435</v>
      </c>
      <c r="I50" s="6" t="s">
        <v>292</v>
      </c>
      <c r="J50" s="6" t="s">
        <v>466</v>
      </c>
    </row>
    <row r="51" spans="1:10" ht="60.75" hidden="1">
      <c r="A51" s="6">
        <v>49</v>
      </c>
      <c r="B51" s="6" t="s">
        <v>467</v>
      </c>
      <c r="C51" s="6" t="s">
        <v>468</v>
      </c>
      <c r="D51" s="6" t="s">
        <v>469</v>
      </c>
      <c r="E51" s="6" t="s">
        <v>470</v>
      </c>
      <c r="F51" s="7" t="s">
        <v>471</v>
      </c>
      <c r="G51" s="6" t="s">
        <v>294</v>
      </c>
      <c r="H51" s="14" t="s">
        <v>435</v>
      </c>
      <c r="I51" s="6" t="s">
        <v>284</v>
      </c>
      <c r="J51" s="6" t="s">
        <v>472</v>
      </c>
    </row>
    <row r="52" spans="1:10" ht="45.75" hidden="1">
      <c r="A52" s="6">
        <v>50</v>
      </c>
      <c r="B52" s="6" t="s">
        <v>440</v>
      </c>
      <c r="C52" s="6" t="s">
        <v>473</v>
      </c>
      <c r="D52" s="6" t="s">
        <v>447</v>
      </c>
      <c r="E52" s="6" t="s">
        <v>397</v>
      </c>
      <c r="F52" s="7" t="s">
        <v>474</v>
      </c>
      <c r="G52" s="6" t="s">
        <v>294</v>
      </c>
      <c r="H52" s="14" t="s">
        <v>435</v>
      </c>
      <c r="I52" s="6" t="s">
        <v>292</v>
      </c>
      <c r="J52" s="6" t="s">
        <v>475</v>
      </c>
    </row>
    <row r="53" spans="1:10" ht="60.75" hidden="1">
      <c r="A53" s="6">
        <v>51</v>
      </c>
      <c r="B53" s="6" t="s">
        <v>413</v>
      </c>
      <c r="C53" s="6" t="s">
        <v>476</v>
      </c>
      <c r="D53" s="6" t="s">
        <v>454</v>
      </c>
      <c r="E53" s="6" t="s">
        <v>477</v>
      </c>
      <c r="F53" s="7" t="s">
        <v>478</v>
      </c>
      <c r="G53" s="6" t="s">
        <v>294</v>
      </c>
      <c r="H53" s="14" t="s">
        <v>435</v>
      </c>
      <c r="I53" s="6" t="s">
        <v>292</v>
      </c>
      <c r="J53" s="6" t="s">
        <v>479</v>
      </c>
    </row>
    <row r="54" spans="1:10" ht="60.75" hidden="1">
      <c r="A54" s="6">
        <v>52</v>
      </c>
      <c r="B54" s="6" t="s">
        <v>413</v>
      </c>
      <c r="C54" s="6" t="s">
        <v>480</v>
      </c>
      <c r="D54" s="6" t="s">
        <v>74</v>
      </c>
      <c r="E54" s="6" t="s">
        <v>426</v>
      </c>
      <c r="F54" s="7" t="s">
        <v>481</v>
      </c>
      <c r="G54" s="6" t="s">
        <v>282</v>
      </c>
      <c r="H54" s="14" t="s">
        <v>435</v>
      </c>
      <c r="I54" s="6" t="s">
        <v>284</v>
      </c>
      <c r="J54" s="6" t="s">
        <v>482</v>
      </c>
    </row>
    <row r="55" spans="1:10" ht="60.75" hidden="1">
      <c r="A55" s="6">
        <v>53</v>
      </c>
      <c r="B55" s="6" t="s">
        <v>413</v>
      </c>
      <c r="C55" s="6" t="s">
        <v>483</v>
      </c>
      <c r="D55" s="6" t="s">
        <v>484</v>
      </c>
      <c r="E55" s="6" t="s">
        <v>485</v>
      </c>
      <c r="F55" s="7" t="s">
        <v>486</v>
      </c>
      <c r="G55" s="6" t="s">
        <v>294</v>
      </c>
      <c r="H55" s="14" t="s">
        <v>435</v>
      </c>
      <c r="I55" s="6" t="s">
        <v>284</v>
      </c>
      <c r="J55" s="6" t="s">
        <v>487</v>
      </c>
    </row>
    <row r="56" spans="1:10" ht="60.75" hidden="1">
      <c r="A56" s="6">
        <v>54</v>
      </c>
      <c r="B56" s="6" t="s">
        <v>488</v>
      </c>
      <c r="C56" s="6" t="s">
        <v>489</v>
      </c>
      <c r="D56" s="6" t="s">
        <v>490</v>
      </c>
      <c r="E56" s="6" t="s">
        <v>350</v>
      </c>
      <c r="F56" s="7" t="s">
        <v>491</v>
      </c>
      <c r="G56" s="6" t="s">
        <v>294</v>
      </c>
      <c r="H56" s="14" t="s">
        <v>435</v>
      </c>
      <c r="I56" s="6" t="s">
        <v>292</v>
      </c>
      <c r="J56" s="6" t="s">
        <v>492</v>
      </c>
    </row>
    <row r="57" spans="1:10" ht="60.75" hidden="1">
      <c r="A57" s="6">
        <v>55</v>
      </c>
      <c r="B57" s="6" t="s">
        <v>488</v>
      </c>
      <c r="C57" s="6" t="s">
        <v>493</v>
      </c>
      <c r="D57" s="6" t="s">
        <v>74</v>
      </c>
      <c r="E57" s="6" t="s">
        <v>350</v>
      </c>
      <c r="F57" s="7" t="s">
        <v>494</v>
      </c>
      <c r="G57" s="6" t="s">
        <v>282</v>
      </c>
      <c r="H57" s="14" t="s">
        <v>435</v>
      </c>
      <c r="I57" s="6" t="s">
        <v>292</v>
      </c>
      <c r="J57" s="6" t="s">
        <v>495</v>
      </c>
    </row>
    <row r="58" spans="1:10" ht="60.75" hidden="1">
      <c r="A58" s="6">
        <v>56</v>
      </c>
      <c r="B58" s="6" t="s">
        <v>277</v>
      </c>
      <c r="C58" s="6" t="s">
        <v>496</v>
      </c>
      <c r="D58" s="6" t="s">
        <v>497</v>
      </c>
      <c r="E58" s="6" t="s">
        <v>280</v>
      </c>
      <c r="F58" s="7" t="s">
        <v>498</v>
      </c>
      <c r="G58" s="6" t="s">
        <v>282</v>
      </c>
      <c r="H58" s="14" t="s">
        <v>435</v>
      </c>
      <c r="I58" s="6" t="s">
        <v>292</v>
      </c>
      <c r="J58" s="6" t="s">
        <v>499</v>
      </c>
    </row>
    <row r="59" spans="1:10" ht="75.75" hidden="1">
      <c r="A59" s="6">
        <v>57</v>
      </c>
      <c r="B59" s="6" t="s">
        <v>277</v>
      </c>
      <c r="C59" s="6" t="s">
        <v>500</v>
      </c>
      <c r="D59" s="6" t="s">
        <v>501</v>
      </c>
      <c r="E59" s="6" t="s">
        <v>280</v>
      </c>
      <c r="F59" s="7" t="s">
        <v>502</v>
      </c>
      <c r="G59" s="6" t="s">
        <v>294</v>
      </c>
      <c r="H59" s="14" t="s">
        <v>435</v>
      </c>
      <c r="I59" s="6" t="s">
        <v>292</v>
      </c>
      <c r="J59" s="6" t="s">
        <v>503</v>
      </c>
    </row>
    <row r="60" spans="1:10" ht="87" hidden="1">
      <c r="A60" s="6">
        <v>58</v>
      </c>
      <c r="B60" s="6" t="s">
        <v>277</v>
      </c>
      <c r="C60" s="6" t="s">
        <v>504</v>
      </c>
      <c r="D60" s="6" t="s">
        <v>505</v>
      </c>
      <c r="E60" s="6" t="s">
        <v>280</v>
      </c>
      <c r="F60" s="19" t="s">
        <v>506</v>
      </c>
      <c r="G60" s="6" t="s">
        <v>282</v>
      </c>
      <c r="H60" s="14" t="s">
        <v>435</v>
      </c>
      <c r="I60" s="6" t="s">
        <v>284</v>
      </c>
      <c r="J60" s="6" t="s">
        <v>507</v>
      </c>
    </row>
    <row r="61" spans="1:10" ht="60.75" hidden="1">
      <c r="A61" s="6">
        <v>59</v>
      </c>
      <c r="B61" s="6" t="s">
        <v>488</v>
      </c>
      <c r="C61" s="6" t="s">
        <v>508</v>
      </c>
      <c r="D61" s="6" t="s">
        <v>447</v>
      </c>
      <c r="E61" s="6" t="s">
        <v>350</v>
      </c>
      <c r="F61" s="7" t="s">
        <v>509</v>
      </c>
      <c r="G61" s="6" t="s">
        <v>294</v>
      </c>
      <c r="H61" s="14" t="s">
        <v>435</v>
      </c>
      <c r="I61" s="6" t="s">
        <v>292</v>
      </c>
      <c r="J61" s="6" t="s">
        <v>510</v>
      </c>
    </row>
    <row r="62" spans="1:10" ht="30" hidden="1">
      <c r="A62" s="6">
        <v>60</v>
      </c>
      <c r="B62" s="6" t="s">
        <v>488</v>
      </c>
      <c r="C62" s="6" t="s">
        <v>511</v>
      </c>
      <c r="D62" s="6" t="s">
        <v>454</v>
      </c>
      <c r="E62" s="6" t="s">
        <v>350</v>
      </c>
      <c r="F62" s="18" t="s">
        <v>512</v>
      </c>
      <c r="G62" s="6" t="s">
        <v>294</v>
      </c>
      <c r="H62" s="14" t="s">
        <v>435</v>
      </c>
      <c r="I62" s="6" t="s">
        <v>292</v>
      </c>
      <c r="J62" s="6" t="s">
        <v>513</v>
      </c>
    </row>
    <row r="63" spans="1:10" ht="60.75" hidden="1">
      <c r="A63" s="6">
        <v>61</v>
      </c>
      <c r="B63" s="6" t="s">
        <v>488</v>
      </c>
      <c r="C63" s="6" t="s">
        <v>514</v>
      </c>
      <c r="D63" s="6" t="s">
        <v>469</v>
      </c>
      <c r="E63" s="6" t="s">
        <v>350</v>
      </c>
      <c r="F63" s="7" t="s">
        <v>515</v>
      </c>
      <c r="G63" s="6" t="s">
        <v>282</v>
      </c>
      <c r="H63" s="14" t="s">
        <v>435</v>
      </c>
      <c r="I63" s="6" t="s">
        <v>292</v>
      </c>
      <c r="J63" s="6" t="s">
        <v>516</v>
      </c>
    </row>
    <row r="64" spans="1:10" ht="60.75" hidden="1">
      <c r="A64" s="6">
        <v>62</v>
      </c>
      <c r="B64" s="6" t="s">
        <v>488</v>
      </c>
      <c r="C64" s="6" t="s">
        <v>517</v>
      </c>
      <c r="D64" s="6" t="s">
        <v>518</v>
      </c>
      <c r="E64" s="6" t="s">
        <v>350</v>
      </c>
      <c r="F64" s="7" t="s">
        <v>519</v>
      </c>
      <c r="G64" s="6" t="s">
        <v>294</v>
      </c>
      <c r="H64" s="14" t="s">
        <v>435</v>
      </c>
      <c r="I64" s="6" t="s">
        <v>292</v>
      </c>
      <c r="J64" s="6" t="s">
        <v>520</v>
      </c>
    </row>
    <row r="65" spans="1:10" ht="60.75" hidden="1">
      <c r="A65" s="6">
        <v>63</v>
      </c>
      <c r="B65" s="6" t="s">
        <v>413</v>
      </c>
      <c r="C65" s="6" t="s">
        <v>521</v>
      </c>
      <c r="D65" s="6" t="s">
        <v>522</v>
      </c>
      <c r="E65" s="6" t="s">
        <v>416</v>
      </c>
      <c r="F65" s="7" t="s">
        <v>523</v>
      </c>
      <c r="G65" s="6" t="s">
        <v>294</v>
      </c>
      <c r="H65" s="14" t="s">
        <v>435</v>
      </c>
      <c r="I65" s="6" t="s">
        <v>292</v>
      </c>
      <c r="J65" s="6" t="s">
        <v>524</v>
      </c>
    </row>
    <row r="66" spans="1:10" ht="60.75" hidden="1">
      <c r="A66" s="6">
        <v>64</v>
      </c>
      <c r="B66" s="6" t="s">
        <v>413</v>
      </c>
      <c r="C66" s="6" t="s">
        <v>525</v>
      </c>
      <c r="D66" s="6" t="s">
        <v>74</v>
      </c>
      <c r="E66" s="6" t="s">
        <v>416</v>
      </c>
      <c r="F66" s="7" t="s">
        <v>526</v>
      </c>
      <c r="G66" s="6" t="s">
        <v>294</v>
      </c>
      <c r="H66" s="14" t="s">
        <v>435</v>
      </c>
      <c r="I66" s="6" t="s">
        <v>292</v>
      </c>
      <c r="J66" s="6" t="s">
        <v>527</v>
      </c>
    </row>
    <row r="67" spans="1:10" ht="60.75" hidden="1">
      <c r="A67" s="6">
        <v>65</v>
      </c>
      <c r="B67" s="6" t="s">
        <v>413</v>
      </c>
      <c r="C67" s="6" t="s">
        <v>528</v>
      </c>
      <c r="D67" s="6" t="s">
        <v>447</v>
      </c>
      <c r="E67" s="6" t="s">
        <v>426</v>
      </c>
      <c r="F67" s="7" t="s">
        <v>529</v>
      </c>
      <c r="G67" s="6" t="s">
        <v>294</v>
      </c>
      <c r="H67" s="14" t="s">
        <v>435</v>
      </c>
      <c r="I67" s="6" t="s">
        <v>292</v>
      </c>
      <c r="J67" s="6" t="s">
        <v>530</v>
      </c>
    </row>
    <row r="68" spans="1:10" ht="60.75" hidden="1">
      <c r="A68" s="6">
        <v>66</v>
      </c>
      <c r="B68" s="6" t="s">
        <v>413</v>
      </c>
      <c r="C68" s="6" t="s">
        <v>531</v>
      </c>
      <c r="D68" s="6" t="s">
        <v>447</v>
      </c>
      <c r="E68" s="6" t="s">
        <v>426</v>
      </c>
      <c r="F68" s="7" t="s">
        <v>532</v>
      </c>
      <c r="G68" s="6" t="s">
        <v>294</v>
      </c>
      <c r="H68" s="14" t="s">
        <v>435</v>
      </c>
      <c r="I68" s="6" t="s">
        <v>292</v>
      </c>
      <c r="J68" s="6" t="s">
        <v>533</v>
      </c>
    </row>
    <row r="69" spans="1:10" ht="60.75" hidden="1">
      <c r="A69" s="6">
        <v>67</v>
      </c>
      <c r="B69" s="6" t="s">
        <v>413</v>
      </c>
      <c r="C69" s="6" t="s">
        <v>534</v>
      </c>
      <c r="D69" s="6" t="s">
        <v>74</v>
      </c>
      <c r="E69" s="6" t="s">
        <v>416</v>
      </c>
      <c r="F69" s="7" t="s">
        <v>535</v>
      </c>
      <c r="G69" s="6" t="s">
        <v>294</v>
      </c>
      <c r="H69" s="14" t="s">
        <v>435</v>
      </c>
      <c r="I69" s="6" t="s">
        <v>292</v>
      </c>
      <c r="J69" s="6" t="s">
        <v>536</v>
      </c>
    </row>
    <row r="70" spans="1:10" ht="60.75" hidden="1">
      <c r="A70" s="6">
        <v>68</v>
      </c>
      <c r="B70" s="6" t="s">
        <v>319</v>
      </c>
      <c r="C70" s="6" t="s">
        <v>537</v>
      </c>
      <c r="D70" s="6" t="s">
        <v>538</v>
      </c>
      <c r="E70" s="6" t="s">
        <v>455</v>
      </c>
      <c r="F70" s="7" t="s">
        <v>539</v>
      </c>
      <c r="G70" s="6" t="s">
        <v>294</v>
      </c>
      <c r="H70" s="14" t="s">
        <v>435</v>
      </c>
      <c r="I70" s="6" t="s">
        <v>292</v>
      </c>
      <c r="J70" s="6" t="s">
        <v>540</v>
      </c>
    </row>
    <row r="71" spans="1:10" ht="60.75" hidden="1">
      <c r="A71" s="6">
        <v>69</v>
      </c>
      <c r="B71" s="6" t="s">
        <v>488</v>
      </c>
      <c r="C71" s="6" t="s">
        <v>541</v>
      </c>
      <c r="D71" s="6" t="s">
        <v>542</v>
      </c>
      <c r="E71" s="6" t="s">
        <v>361</v>
      </c>
      <c r="F71" s="7" t="s">
        <v>543</v>
      </c>
      <c r="G71" s="6" t="s">
        <v>294</v>
      </c>
      <c r="H71" s="14" t="s">
        <v>435</v>
      </c>
      <c r="I71" s="6" t="s">
        <v>292</v>
      </c>
      <c r="J71" s="6" t="s">
        <v>544</v>
      </c>
    </row>
    <row r="72" spans="1:10" ht="30" hidden="1">
      <c r="A72" s="6">
        <v>70</v>
      </c>
      <c r="B72" s="6" t="s">
        <v>413</v>
      </c>
      <c r="C72" s="6" t="s">
        <v>545</v>
      </c>
      <c r="D72" s="6" t="s">
        <v>505</v>
      </c>
      <c r="E72" s="6" t="s">
        <v>426</v>
      </c>
      <c r="F72" s="18" t="s">
        <v>546</v>
      </c>
      <c r="G72" s="6" t="s">
        <v>294</v>
      </c>
      <c r="H72" s="14" t="s">
        <v>435</v>
      </c>
      <c r="I72" s="6" t="s">
        <v>284</v>
      </c>
      <c r="J72" s="6" t="s">
        <v>530</v>
      </c>
    </row>
    <row r="73" spans="1:10" ht="90.75" hidden="1">
      <c r="A73" s="6">
        <v>71</v>
      </c>
      <c r="B73" s="6" t="s">
        <v>277</v>
      </c>
      <c r="C73" s="6" t="s">
        <v>547</v>
      </c>
      <c r="D73" s="6" t="s">
        <v>548</v>
      </c>
      <c r="E73" s="6" t="s">
        <v>280</v>
      </c>
      <c r="F73" s="7" t="s">
        <v>549</v>
      </c>
      <c r="G73" s="6" t="s">
        <v>294</v>
      </c>
      <c r="H73" s="14" t="s">
        <v>435</v>
      </c>
      <c r="I73" s="6" t="s">
        <v>292</v>
      </c>
      <c r="J73" s="6" t="s">
        <v>550</v>
      </c>
    </row>
    <row r="74" spans="1:10" ht="60.75" hidden="1">
      <c r="A74" s="6">
        <v>72</v>
      </c>
      <c r="B74" s="6" t="s">
        <v>277</v>
      </c>
      <c r="C74" s="6" t="s">
        <v>551</v>
      </c>
      <c r="D74" s="6" t="s">
        <v>43</v>
      </c>
      <c r="E74" s="6" t="s">
        <v>280</v>
      </c>
      <c r="F74" s="7" t="s">
        <v>552</v>
      </c>
      <c r="G74" s="6" t="s">
        <v>282</v>
      </c>
      <c r="H74" s="14" t="s">
        <v>435</v>
      </c>
      <c r="I74" s="6" t="s">
        <v>292</v>
      </c>
      <c r="J74" s="6" t="s">
        <v>553</v>
      </c>
    </row>
    <row r="75" spans="1:10" ht="106.5" hidden="1">
      <c r="A75" s="6">
        <v>73</v>
      </c>
      <c r="B75" s="6" t="s">
        <v>277</v>
      </c>
      <c r="C75" s="6" t="s">
        <v>554</v>
      </c>
      <c r="D75" s="6" t="s">
        <v>555</v>
      </c>
      <c r="E75" s="6" t="s">
        <v>280</v>
      </c>
      <c r="F75" s="7" t="s">
        <v>556</v>
      </c>
      <c r="G75" s="6" t="s">
        <v>294</v>
      </c>
      <c r="H75" s="14" t="s">
        <v>435</v>
      </c>
      <c r="I75" s="6" t="s">
        <v>292</v>
      </c>
      <c r="J75" s="6" t="s">
        <v>557</v>
      </c>
    </row>
    <row r="76" spans="1:10" ht="90.75" hidden="1">
      <c r="A76" s="6">
        <v>74</v>
      </c>
      <c r="B76" s="6" t="s">
        <v>440</v>
      </c>
      <c r="C76" s="6" t="s">
        <v>558</v>
      </c>
      <c r="D76" s="6" t="s">
        <v>559</v>
      </c>
      <c r="E76" s="6" t="s">
        <v>397</v>
      </c>
      <c r="F76" s="7" t="s">
        <v>560</v>
      </c>
      <c r="G76" s="6" t="s">
        <v>294</v>
      </c>
      <c r="H76" s="14" t="s">
        <v>435</v>
      </c>
      <c r="I76" s="6" t="s">
        <v>292</v>
      </c>
      <c r="J76" s="6" t="s">
        <v>561</v>
      </c>
    </row>
    <row r="77" spans="1:10" ht="90.75" hidden="1">
      <c r="A77" s="6">
        <v>75</v>
      </c>
      <c r="B77" s="6" t="s">
        <v>440</v>
      </c>
      <c r="C77" s="6" t="s">
        <v>562</v>
      </c>
      <c r="D77" s="6" t="s">
        <v>559</v>
      </c>
      <c r="E77" s="6" t="s">
        <v>397</v>
      </c>
      <c r="F77" s="7" t="s">
        <v>563</v>
      </c>
      <c r="G77" s="6" t="s">
        <v>294</v>
      </c>
      <c r="H77" s="14" t="s">
        <v>435</v>
      </c>
      <c r="I77" s="6" t="s">
        <v>292</v>
      </c>
      <c r="J77" s="6" t="s">
        <v>564</v>
      </c>
    </row>
    <row r="78" spans="1:10" ht="90.75" hidden="1">
      <c r="A78" s="6">
        <v>76</v>
      </c>
      <c r="B78" s="6" t="s">
        <v>319</v>
      </c>
      <c r="C78" s="6" t="s">
        <v>565</v>
      </c>
      <c r="D78" s="6" t="s">
        <v>566</v>
      </c>
      <c r="E78" s="6" t="s">
        <v>455</v>
      </c>
      <c r="F78" s="7" t="s">
        <v>567</v>
      </c>
      <c r="G78" s="6" t="s">
        <v>282</v>
      </c>
      <c r="H78" s="14" t="s">
        <v>435</v>
      </c>
      <c r="I78" s="6" t="s">
        <v>292</v>
      </c>
      <c r="J78" s="6" t="s">
        <v>568</v>
      </c>
    </row>
    <row r="79" spans="1:10" ht="136.5" hidden="1">
      <c r="A79" s="6">
        <v>77</v>
      </c>
      <c r="B79" s="6" t="s">
        <v>319</v>
      </c>
      <c r="C79" s="6" t="s">
        <v>569</v>
      </c>
      <c r="D79" s="6" t="s">
        <v>74</v>
      </c>
      <c r="E79" s="6" t="s">
        <v>391</v>
      </c>
      <c r="F79" s="7" t="s">
        <v>570</v>
      </c>
      <c r="G79" s="6" t="s">
        <v>294</v>
      </c>
      <c r="H79" s="14" t="s">
        <v>435</v>
      </c>
      <c r="I79" s="6" t="s">
        <v>292</v>
      </c>
      <c r="J79" s="6" t="s">
        <v>571</v>
      </c>
    </row>
    <row r="80" spans="1:10" ht="106.5" hidden="1">
      <c r="A80" s="6">
        <v>78</v>
      </c>
      <c r="B80" s="6" t="s">
        <v>319</v>
      </c>
      <c r="C80" s="6" t="s">
        <v>572</v>
      </c>
      <c r="D80" s="6" t="s">
        <v>522</v>
      </c>
      <c r="E80" s="6" t="s">
        <v>384</v>
      </c>
      <c r="F80" s="7" t="s">
        <v>573</v>
      </c>
      <c r="G80" s="6" t="s">
        <v>294</v>
      </c>
      <c r="H80" s="14" t="s">
        <v>435</v>
      </c>
      <c r="I80" s="6" t="s">
        <v>292</v>
      </c>
      <c r="J80" s="6" t="s">
        <v>574</v>
      </c>
    </row>
    <row r="81" spans="1:10" ht="30" hidden="1">
      <c r="A81" s="6">
        <v>79</v>
      </c>
      <c r="B81" s="6" t="s">
        <v>445</v>
      </c>
      <c r="C81" s="6" t="s">
        <v>575</v>
      </c>
      <c r="D81" s="6" t="s">
        <v>576</v>
      </c>
      <c r="E81" s="6" t="s">
        <v>347</v>
      </c>
      <c r="F81" s="18" t="s">
        <v>577</v>
      </c>
      <c r="G81" s="6" t="s">
        <v>282</v>
      </c>
      <c r="H81" s="14" t="s">
        <v>435</v>
      </c>
      <c r="I81" s="6" t="s">
        <v>284</v>
      </c>
      <c r="J81" s="6" t="s">
        <v>578</v>
      </c>
    </row>
    <row r="82" spans="1:10" ht="30" hidden="1">
      <c r="A82" s="6">
        <v>80</v>
      </c>
      <c r="B82" s="6" t="s">
        <v>413</v>
      </c>
      <c r="C82" s="6" t="s">
        <v>579</v>
      </c>
      <c r="D82" s="6" t="s">
        <v>151</v>
      </c>
      <c r="E82" s="6" t="s">
        <v>477</v>
      </c>
      <c r="F82" s="18" t="s">
        <v>580</v>
      </c>
      <c r="G82" s="6" t="s">
        <v>294</v>
      </c>
      <c r="H82" s="14" t="s">
        <v>435</v>
      </c>
      <c r="I82" s="6" t="s">
        <v>284</v>
      </c>
      <c r="J82" s="6" t="s">
        <v>479</v>
      </c>
    </row>
    <row r="83" spans="1:10" ht="106.5" hidden="1">
      <c r="A83" s="6">
        <v>81</v>
      </c>
      <c r="B83" s="6" t="s">
        <v>319</v>
      </c>
      <c r="C83" s="6" t="s">
        <v>581</v>
      </c>
      <c r="D83" s="6" t="s">
        <v>582</v>
      </c>
      <c r="E83" s="6" t="s">
        <v>583</v>
      </c>
      <c r="F83" s="7" t="s">
        <v>584</v>
      </c>
      <c r="G83" s="6" t="s">
        <v>294</v>
      </c>
      <c r="H83" s="14" t="s">
        <v>435</v>
      </c>
      <c r="I83" s="6" t="s">
        <v>292</v>
      </c>
      <c r="J83" s="6" t="s">
        <v>585</v>
      </c>
    </row>
    <row r="84" spans="1:10" ht="106.5" hidden="1">
      <c r="A84" s="6">
        <v>82</v>
      </c>
      <c r="B84" s="6" t="s">
        <v>445</v>
      </c>
      <c r="C84" s="6" t="s">
        <v>586</v>
      </c>
      <c r="D84" s="6" t="s">
        <v>587</v>
      </c>
      <c r="E84" s="6" t="s">
        <v>588</v>
      </c>
      <c r="F84" s="7" t="s">
        <v>589</v>
      </c>
      <c r="G84" s="6" t="s">
        <v>294</v>
      </c>
      <c r="H84" s="14" t="s">
        <v>435</v>
      </c>
      <c r="I84" s="6" t="s">
        <v>292</v>
      </c>
      <c r="J84" s="6" t="s">
        <v>590</v>
      </c>
    </row>
    <row r="85" spans="1:10" ht="90.75" hidden="1">
      <c r="A85" s="6">
        <v>83</v>
      </c>
      <c r="B85" s="6" t="s">
        <v>445</v>
      </c>
      <c r="C85" s="6" t="s">
        <v>591</v>
      </c>
      <c r="D85" s="6" t="s">
        <v>592</v>
      </c>
      <c r="E85" s="6" t="s">
        <v>347</v>
      </c>
      <c r="F85" s="7" t="s">
        <v>593</v>
      </c>
      <c r="G85" s="6" t="s">
        <v>282</v>
      </c>
      <c r="H85" s="14" t="s">
        <v>435</v>
      </c>
      <c r="I85" s="6" t="s">
        <v>292</v>
      </c>
      <c r="J85" s="6" t="s">
        <v>594</v>
      </c>
    </row>
    <row r="86" spans="1:10" ht="90.75" hidden="1">
      <c r="A86" s="6">
        <v>84</v>
      </c>
      <c r="B86" s="6" t="s">
        <v>467</v>
      </c>
      <c r="C86" s="6" t="s">
        <v>595</v>
      </c>
      <c r="D86" s="6" t="s">
        <v>74</v>
      </c>
      <c r="E86" s="6" t="s">
        <v>596</v>
      </c>
      <c r="F86" s="7" t="s">
        <v>597</v>
      </c>
      <c r="G86" s="6" t="s">
        <v>294</v>
      </c>
      <c r="H86" s="14" t="s">
        <v>435</v>
      </c>
      <c r="I86" s="6" t="s">
        <v>292</v>
      </c>
      <c r="J86" s="6" t="s">
        <v>598</v>
      </c>
    </row>
    <row r="87" spans="1:10" ht="106.5" hidden="1">
      <c r="A87" s="6">
        <v>85</v>
      </c>
      <c r="B87" s="6" t="s">
        <v>440</v>
      </c>
      <c r="C87" s="6" t="s">
        <v>599</v>
      </c>
      <c r="D87" s="6" t="s">
        <v>600</v>
      </c>
      <c r="E87" s="6" t="s">
        <v>397</v>
      </c>
      <c r="F87" s="7" t="s">
        <v>601</v>
      </c>
      <c r="G87" s="6" t="s">
        <v>294</v>
      </c>
      <c r="H87" s="14" t="s">
        <v>435</v>
      </c>
      <c r="I87" s="6" t="s">
        <v>292</v>
      </c>
      <c r="J87" s="6" t="s">
        <v>602</v>
      </c>
    </row>
    <row r="88" spans="1:10" ht="75.75" hidden="1">
      <c r="A88" s="6">
        <v>86</v>
      </c>
      <c r="B88" s="6" t="s">
        <v>277</v>
      </c>
      <c r="C88" s="6" t="s">
        <v>603</v>
      </c>
      <c r="D88" s="6" t="s">
        <v>604</v>
      </c>
      <c r="E88" s="6" t="s">
        <v>280</v>
      </c>
      <c r="F88" s="7" t="s">
        <v>605</v>
      </c>
      <c r="G88" s="6" t="s">
        <v>294</v>
      </c>
      <c r="H88" s="14" t="s">
        <v>435</v>
      </c>
      <c r="I88" s="6" t="s">
        <v>292</v>
      </c>
      <c r="J88" s="6" t="s">
        <v>606</v>
      </c>
    </row>
    <row r="89" spans="1:10" ht="101.25" hidden="1">
      <c r="A89" s="6">
        <v>87</v>
      </c>
      <c r="B89" s="6" t="s">
        <v>277</v>
      </c>
      <c r="C89" s="6" t="s">
        <v>607</v>
      </c>
      <c r="D89" s="6" t="s">
        <v>43</v>
      </c>
      <c r="E89" s="6" t="s">
        <v>280</v>
      </c>
      <c r="F89" s="19" t="s">
        <v>608</v>
      </c>
      <c r="G89" s="6" t="s">
        <v>294</v>
      </c>
      <c r="H89" s="14" t="s">
        <v>435</v>
      </c>
      <c r="I89" s="6" t="s">
        <v>284</v>
      </c>
      <c r="J89" s="6" t="s">
        <v>609</v>
      </c>
    </row>
    <row r="90" spans="1:10" ht="106.5" hidden="1">
      <c r="A90" s="6">
        <v>88</v>
      </c>
      <c r="B90" s="6" t="s">
        <v>277</v>
      </c>
      <c r="C90" s="6" t="s">
        <v>610</v>
      </c>
      <c r="D90" s="6" t="s">
        <v>136</v>
      </c>
      <c r="E90" s="6" t="s">
        <v>280</v>
      </c>
      <c r="F90" s="7" t="s">
        <v>611</v>
      </c>
      <c r="G90" s="6" t="s">
        <v>294</v>
      </c>
      <c r="H90" s="14" t="s">
        <v>435</v>
      </c>
      <c r="I90" s="6" t="s">
        <v>292</v>
      </c>
      <c r="J90" s="6" t="s">
        <v>609</v>
      </c>
    </row>
    <row r="91" spans="1:10" ht="106.5" hidden="1">
      <c r="A91" s="6">
        <v>89</v>
      </c>
      <c r="B91" s="6" t="s">
        <v>277</v>
      </c>
      <c r="C91" s="6" t="s">
        <v>612</v>
      </c>
      <c r="D91" s="6" t="s">
        <v>74</v>
      </c>
      <c r="E91" s="6" t="s">
        <v>280</v>
      </c>
      <c r="F91" s="7" t="s">
        <v>613</v>
      </c>
      <c r="G91" s="6" t="s">
        <v>294</v>
      </c>
      <c r="H91" s="14" t="s">
        <v>435</v>
      </c>
      <c r="I91" s="6" t="s">
        <v>292</v>
      </c>
      <c r="J91" s="6" t="s">
        <v>614</v>
      </c>
    </row>
    <row r="92" spans="1:10" ht="101.25" hidden="1">
      <c r="A92" s="6">
        <v>90</v>
      </c>
      <c r="B92" s="6" t="s">
        <v>319</v>
      </c>
      <c r="C92" s="6" t="s">
        <v>615</v>
      </c>
      <c r="D92" s="6" t="s">
        <v>600</v>
      </c>
      <c r="E92" s="6" t="s">
        <v>391</v>
      </c>
      <c r="F92" s="19" t="s">
        <v>616</v>
      </c>
      <c r="G92" s="6" t="s">
        <v>294</v>
      </c>
      <c r="H92" s="14" t="s">
        <v>435</v>
      </c>
      <c r="I92" s="6" t="s">
        <v>284</v>
      </c>
      <c r="J92" s="6" t="s">
        <v>617</v>
      </c>
    </row>
    <row r="93" spans="1:10" ht="121.5" hidden="1">
      <c r="A93" s="6">
        <v>91</v>
      </c>
      <c r="B93" s="6" t="s">
        <v>319</v>
      </c>
      <c r="C93" s="6" t="s">
        <v>618</v>
      </c>
      <c r="D93" s="6" t="s">
        <v>587</v>
      </c>
      <c r="E93" s="6" t="s">
        <v>619</v>
      </c>
      <c r="F93" s="7" t="s">
        <v>620</v>
      </c>
      <c r="G93" s="6" t="s">
        <v>294</v>
      </c>
      <c r="H93" s="14" t="s">
        <v>435</v>
      </c>
      <c r="I93" s="6" t="s">
        <v>292</v>
      </c>
      <c r="J93" s="6" t="s">
        <v>621</v>
      </c>
    </row>
    <row r="94" spans="1:10" ht="106.5" hidden="1">
      <c r="A94" s="6">
        <v>92</v>
      </c>
      <c r="B94" s="6" t="s">
        <v>319</v>
      </c>
      <c r="C94" s="6" t="s">
        <v>622</v>
      </c>
      <c r="D94" s="6" t="s">
        <v>542</v>
      </c>
      <c r="E94" s="6" t="s">
        <v>623</v>
      </c>
      <c r="F94" s="7" t="s">
        <v>624</v>
      </c>
      <c r="G94" s="6" t="s">
        <v>294</v>
      </c>
      <c r="H94" s="14" t="s">
        <v>435</v>
      </c>
      <c r="I94" s="6" t="s">
        <v>292</v>
      </c>
      <c r="J94" s="6" t="s">
        <v>625</v>
      </c>
    </row>
    <row r="95" spans="1:10" ht="136.5" hidden="1">
      <c r="A95" s="6">
        <v>93</v>
      </c>
      <c r="B95" s="6" t="s">
        <v>440</v>
      </c>
      <c r="C95" s="6" t="s">
        <v>626</v>
      </c>
      <c r="D95" s="6" t="s">
        <v>43</v>
      </c>
      <c r="E95" s="6" t="s">
        <v>397</v>
      </c>
      <c r="F95" s="7" t="s">
        <v>627</v>
      </c>
      <c r="G95" s="6" t="s">
        <v>294</v>
      </c>
      <c r="H95" s="14" t="s">
        <v>435</v>
      </c>
      <c r="I95" s="6" t="s">
        <v>292</v>
      </c>
      <c r="J95" s="6" t="s">
        <v>403</v>
      </c>
    </row>
    <row r="96" spans="1:10" ht="101.25" hidden="1">
      <c r="A96" s="6">
        <v>94</v>
      </c>
      <c r="B96" s="6" t="s">
        <v>440</v>
      </c>
      <c r="C96" s="6" t="s">
        <v>628</v>
      </c>
      <c r="D96" s="6" t="s">
        <v>629</v>
      </c>
      <c r="E96" s="6" t="s">
        <v>408</v>
      </c>
      <c r="F96" s="19" t="s">
        <v>630</v>
      </c>
      <c r="G96" s="6" t="s">
        <v>294</v>
      </c>
      <c r="H96" s="14" t="s">
        <v>435</v>
      </c>
      <c r="I96" s="6" t="s">
        <v>292</v>
      </c>
      <c r="J96" s="6" t="s">
        <v>631</v>
      </c>
    </row>
    <row r="97" spans="1:10" ht="43.5" hidden="1">
      <c r="A97" s="6">
        <v>95</v>
      </c>
      <c r="B97" s="6" t="s">
        <v>413</v>
      </c>
      <c r="C97" s="6" t="s">
        <v>632</v>
      </c>
      <c r="D97" s="6" t="s">
        <v>633</v>
      </c>
      <c r="E97" s="6" t="s">
        <v>477</v>
      </c>
      <c r="F97" s="19" t="s">
        <v>634</v>
      </c>
      <c r="G97" s="6" t="s">
        <v>294</v>
      </c>
      <c r="H97" s="14" t="s">
        <v>435</v>
      </c>
      <c r="I97" s="6" t="s">
        <v>292</v>
      </c>
      <c r="J97" s="6" t="s">
        <v>635</v>
      </c>
    </row>
    <row r="98" spans="1:10" ht="60.75" hidden="1">
      <c r="A98" s="6">
        <v>96</v>
      </c>
      <c r="B98" s="6" t="s">
        <v>277</v>
      </c>
      <c r="C98" s="6" t="s">
        <v>636</v>
      </c>
      <c r="D98" s="6" t="s">
        <v>637</v>
      </c>
      <c r="E98" s="6" t="s">
        <v>280</v>
      </c>
      <c r="F98" s="7" t="s">
        <v>638</v>
      </c>
      <c r="G98" s="6" t="s">
        <v>294</v>
      </c>
      <c r="H98" s="14" t="s">
        <v>435</v>
      </c>
      <c r="I98" s="6" t="s">
        <v>292</v>
      </c>
      <c r="J98" s="6" t="s">
        <v>639</v>
      </c>
    </row>
    <row r="99" spans="1:10" ht="75.75" hidden="1">
      <c r="A99" s="6">
        <v>97</v>
      </c>
      <c r="B99" s="6" t="s">
        <v>445</v>
      </c>
      <c r="C99" s="6" t="s">
        <v>640</v>
      </c>
      <c r="D99" s="6" t="s">
        <v>641</v>
      </c>
      <c r="E99" s="6" t="s">
        <v>347</v>
      </c>
      <c r="F99" s="7" t="s">
        <v>642</v>
      </c>
      <c r="G99" s="6" t="s">
        <v>294</v>
      </c>
      <c r="H99" s="14" t="s">
        <v>435</v>
      </c>
      <c r="I99" s="6" t="s">
        <v>292</v>
      </c>
      <c r="J99" s="6" t="s">
        <v>643</v>
      </c>
    </row>
    <row r="100" spans="1:10" ht="60.75" hidden="1">
      <c r="A100" s="6">
        <v>98</v>
      </c>
      <c r="B100" s="6" t="s">
        <v>440</v>
      </c>
      <c r="C100" s="6" t="s">
        <v>644</v>
      </c>
      <c r="D100" s="6" t="s">
        <v>645</v>
      </c>
      <c r="E100" s="6" t="s">
        <v>408</v>
      </c>
      <c r="F100" s="7" t="s">
        <v>646</v>
      </c>
      <c r="G100" s="6" t="s">
        <v>294</v>
      </c>
      <c r="H100" s="14" t="s">
        <v>435</v>
      </c>
      <c r="I100" s="6" t="s">
        <v>292</v>
      </c>
      <c r="J100" s="6" t="s">
        <v>647</v>
      </c>
    </row>
    <row r="101" spans="1:10" ht="75.75" hidden="1">
      <c r="A101" s="6">
        <v>99</v>
      </c>
      <c r="B101" s="6" t="s">
        <v>440</v>
      </c>
      <c r="C101" s="6" t="s">
        <v>648</v>
      </c>
      <c r="D101" s="6" t="s">
        <v>629</v>
      </c>
      <c r="E101" s="6" t="s">
        <v>408</v>
      </c>
      <c r="F101" s="7" t="s">
        <v>649</v>
      </c>
      <c r="G101" s="6" t="s">
        <v>282</v>
      </c>
      <c r="H101" s="14" t="s">
        <v>435</v>
      </c>
      <c r="I101" s="6" t="s">
        <v>292</v>
      </c>
      <c r="J101" s="6" t="s">
        <v>650</v>
      </c>
    </row>
    <row r="102" spans="1:10" ht="87" hidden="1">
      <c r="A102" s="6">
        <v>100</v>
      </c>
      <c r="B102" s="6" t="s">
        <v>319</v>
      </c>
      <c r="C102" s="6" t="s">
        <v>651</v>
      </c>
      <c r="D102" s="6" t="s">
        <v>74</v>
      </c>
      <c r="E102" s="16" t="s">
        <v>623</v>
      </c>
      <c r="F102" s="19" t="s">
        <v>652</v>
      </c>
      <c r="G102" s="6" t="s">
        <v>294</v>
      </c>
      <c r="H102" s="14" t="s">
        <v>435</v>
      </c>
      <c r="I102" s="6" t="s">
        <v>292</v>
      </c>
      <c r="J102" s="6" t="s">
        <v>653</v>
      </c>
    </row>
    <row r="103" spans="1:10">
      <c r="B103" s="4"/>
      <c r="F103" s="7"/>
    </row>
  </sheetData>
  <dataValidations count="1">
    <dataValidation type="list" allowBlank="1" showInputMessage="1" showErrorMessage="1" sqref="I3:I102" xr:uid="{12B4B953-C064-455A-B740-06820AA5DF73}">
      <formula1>"Đã đóng,Đang tuyển"</formula1>
    </dataValidation>
  </dataValidations>
  <hyperlinks>
    <hyperlink ref="F4" r:id="rId1" xr:uid="{B5056BDF-9A47-4D35-969F-94C9E8B5B124}"/>
    <hyperlink ref="F5" r:id="rId2" xr:uid="{7B2FDE2A-D87C-4D55-9EF1-8EAE25302E3F}"/>
    <hyperlink ref="F6" r:id="rId3" xr:uid="{63A3AC32-6432-45ED-9CE1-08A2A7AF0D21}"/>
    <hyperlink ref="F3" r:id="rId4" xr:uid="{0DA1B167-6E7B-4FDB-B9D8-FEC14FB49013}"/>
    <hyperlink ref="F8" r:id="rId5" xr:uid="{D2BE17BB-44AC-495C-88C9-AE01AD9BCF9A}"/>
    <hyperlink ref="F7" r:id="rId6" xr:uid="{C4A58C05-0A2E-4C1D-A1A0-11CFF9CBEC9C}"/>
    <hyperlink ref="F9" r:id="rId7" xr:uid="{DD8D9EEA-A2F3-4E91-A72F-AAEB3F276186}"/>
    <hyperlink ref="F10" r:id="rId8" xr:uid="{D7EA9AB5-A537-4DAA-B360-F3C92E18606F}"/>
    <hyperlink ref="F11" r:id="rId9" xr:uid="{BA56F561-4469-45D1-B4C8-EF68F22FE710}"/>
    <hyperlink ref="F12" r:id="rId10" xr:uid="{3C37D384-8952-4218-92DE-0FED9BD9F6BF}"/>
    <hyperlink ref="F13" r:id="rId11" xr:uid="{3CD00CCE-FC97-4C7E-87C1-28DA26F3E258}"/>
    <hyperlink ref="F14" r:id="rId12" xr:uid="{45BE8012-F5C5-4898-A235-E747C9736859}"/>
    <hyperlink ref="F15" r:id="rId13" xr:uid="{685AB226-EE3B-430D-BCC7-A33959805BF7}"/>
    <hyperlink ref="F16" r:id="rId14" xr:uid="{055458DB-2FB0-4E3F-8A41-D3E9F776CE96}"/>
    <hyperlink ref="F17" r:id="rId15" xr:uid="{8E80E949-C53C-4F49-A49A-9DE239B2D728}"/>
    <hyperlink ref="F18" r:id="rId16" xr:uid="{20E2BDA9-AC9B-4BE4-A35E-5CD9E64E52FA}"/>
    <hyperlink ref="F19" r:id="rId17" xr:uid="{32F4E1B2-2CB3-44FB-B0DD-93B31A2425F4}"/>
    <hyperlink ref="F20" r:id="rId18" xr:uid="{E758F515-ACA0-468A-92B9-4E4E4F3CC5A0}"/>
    <hyperlink ref="F21" r:id="rId19" xr:uid="{31F6BE7A-BC5B-465C-ACB0-B92707C48A96}"/>
    <hyperlink ref="F22" r:id="rId20" xr:uid="{BC61F47A-1BE7-4F12-B3BC-29F99D547883}"/>
    <hyperlink ref="F23" r:id="rId21" xr:uid="{A4E1D2D0-3592-485C-885D-39FEC54A2A2C}"/>
    <hyperlink ref="F24" r:id="rId22" xr:uid="{30D3FA15-42BB-4D23-BCAF-3354F6B826BB}"/>
    <hyperlink ref="F25" r:id="rId23" xr:uid="{A04B8188-3447-4B4B-826C-E60A78B327CB}"/>
    <hyperlink ref="F26" r:id="rId24" xr:uid="{99BC912C-61EB-4790-A5B7-6FC4A5B75C38}"/>
    <hyperlink ref="F27" r:id="rId25" xr:uid="{E9D55D19-E87C-459B-885D-686A5F99CBD6}"/>
    <hyperlink ref="F28" r:id="rId26" xr:uid="{98CFED73-7E67-42F8-8151-590F1A890F7E}"/>
    <hyperlink ref="F29" r:id="rId27" xr:uid="{8A39DA43-CE01-4F05-BB3F-4027F63D7B39}"/>
    <hyperlink ref="F30" r:id="rId28" xr:uid="{16F7CFD6-03AD-4B89-A749-EE6D24AF7B15}"/>
    <hyperlink ref="F31" r:id="rId29" xr:uid="{3A06C10F-ADA4-42A7-B6FB-A654A18E3D82}"/>
    <hyperlink ref="F32" r:id="rId30" xr:uid="{7BCE8460-C28E-43FC-B969-EEF9AED9FB72}"/>
    <hyperlink ref="F33" r:id="rId31" xr:uid="{7A117ACA-B55B-4F29-8BDF-F8761C381A79}"/>
    <hyperlink ref="F34" r:id="rId32" xr:uid="{1B312D6A-6E41-4A73-BB72-A0D9F1D893BB}"/>
    <hyperlink ref="F35" r:id="rId33" xr:uid="{82F27566-4671-49DA-8E0F-A17BF18FA870}"/>
    <hyperlink ref="F37" r:id="rId34" xr:uid="{BEA01EB5-DB9C-463F-B699-45BD73ABA15D}"/>
    <hyperlink ref="F38" r:id="rId35" xr:uid="{8FA40B36-8B4A-4157-8548-BCC8B94087E8}"/>
    <hyperlink ref="F39" r:id="rId36" xr:uid="{290B53D4-2EF4-4755-84FA-32CF962BEE39}"/>
    <hyperlink ref="F40" r:id="rId37" xr:uid="{5DA9E0B3-2ADF-471B-80B5-FB3B699FE062}"/>
    <hyperlink ref="F41" r:id="rId38" xr:uid="{D8336BF5-D234-4E5E-832F-A3B7E19FE72A}"/>
    <hyperlink ref="F42" r:id="rId39" xr:uid="{B6772198-2EAB-4D29-B294-5A0C82B7C496}"/>
    <hyperlink ref="F43" r:id="rId40" xr:uid="{A80DA5EE-D372-4361-89B8-FA00623DB477}"/>
    <hyperlink ref="F44" r:id="rId41" xr:uid="{A829CEBE-B59E-4DE2-8AD7-8ABA97539FBC}"/>
    <hyperlink ref="F45" r:id="rId42" xr:uid="{AF4E7735-0B41-4CD9-83D9-CF0AC86D148A}"/>
    <hyperlink ref="F46" r:id="rId43" xr:uid="{CD5B8991-2837-4ADA-9038-945ABD2DA499}"/>
    <hyperlink ref="F47" r:id="rId44" xr:uid="{D39C8A0B-A8B7-4642-AB16-AC76B57DBAFE}"/>
    <hyperlink ref="F48" r:id="rId45" xr:uid="{EF379A11-AC6B-4EFC-BFB4-E5FD5DDBF55F}"/>
    <hyperlink ref="F49" r:id="rId46" xr:uid="{2030DBD5-D546-4D47-B578-E377B3477964}"/>
    <hyperlink ref="F50" r:id="rId47" xr:uid="{FFA460D2-0F01-4F7C-B4A5-998984F75838}"/>
    <hyperlink ref="F51" r:id="rId48" xr:uid="{8EC54302-6CA0-4037-829B-D35C5B70E21B}"/>
    <hyperlink ref="F52" r:id="rId49" xr:uid="{DA18F215-FD14-4A5B-AF8E-BCEC3827A9CC}"/>
    <hyperlink ref="F53" r:id="rId50" xr:uid="{51B266E8-80BF-44EB-955C-21C07AAA4452}"/>
    <hyperlink ref="F54" r:id="rId51" xr:uid="{75E92D16-0626-40AA-B374-61CBDB1F99AF}"/>
    <hyperlink ref="F55" r:id="rId52" xr:uid="{C4E15E6B-A561-490B-A0EA-D967881CACDB}"/>
    <hyperlink ref="F56" r:id="rId53" xr:uid="{1A3DA2AE-4737-4F2E-ACDF-94A33A9A898D}"/>
    <hyperlink ref="F57" r:id="rId54" xr:uid="{55CF28FB-6226-4553-9871-4CFA03DB9A09}"/>
    <hyperlink ref="F58" r:id="rId55" xr:uid="{94849AA3-09E9-4740-B2A0-8A926201B43D}"/>
    <hyperlink ref="F59" r:id="rId56" xr:uid="{EEA80A76-7941-41FD-A123-6758E84B6486}"/>
    <hyperlink ref="F61" r:id="rId57" xr:uid="{68920E84-34BF-449F-88A7-709012981D02}"/>
    <hyperlink ref="F63" r:id="rId58" xr:uid="{76D95E3B-112B-47EC-B88E-AB3B5666A079}"/>
    <hyperlink ref="F64" r:id="rId59" xr:uid="{C1EA8AE2-0468-4F0A-8B47-A7959D741637}"/>
    <hyperlink ref="F65" r:id="rId60" xr:uid="{D4575004-5E71-4387-9541-54090A4FBD69}"/>
    <hyperlink ref="F66" r:id="rId61" xr:uid="{166CDA2C-7263-40E4-BBE2-A55CE6D7E3B0}"/>
    <hyperlink ref="F67" r:id="rId62" xr:uid="{30AECB0E-5008-4A8B-9BE9-8407AB2B8CA6}"/>
    <hyperlink ref="F68" r:id="rId63" xr:uid="{8965706F-E6CC-4B93-940B-9AEB69380FE5}"/>
    <hyperlink ref="F69" r:id="rId64" xr:uid="{36F02160-F7FA-49C2-BF05-0D483D69428D}"/>
    <hyperlink ref="F70" r:id="rId65" xr:uid="{707D24E7-89F8-4271-96EE-F98D43FB4695}"/>
    <hyperlink ref="F71" r:id="rId66" xr:uid="{5271FED1-88FE-44E6-A670-7C388CFC92F4}"/>
    <hyperlink ref="F73" r:id="rId67" xr:uid="{4C3C170C-287A-475B-B19E-03E3590C2A40}"/>
    <hyperlink ref="F74" r:id="rId68" xr:uid="{F809E5B1-8784-4100-9BC0-F20BFD7870C7}"/>
    <hyperlink ref="F75" r:id="rId69" xr:uid="{06FB5A4F-B27C-435B-9043-7FE9BD64DCD9}"/>
    <hyperlink ref="F76" r:id="rId70" xr:uid="{622905D2-7D6A-4A50-89F9-D79EC37CEE8B}"/>
    <hyperlink ref="F77" r:id="rId71" xr:uid="{7E682053-72B0-4471-8B8E-7A208650AB16}"/>
    <hyperlink ref="F78" r:id="rId72" xr:uid="{30698492-17B5-4E02-A5D0-03E838CFD4C9}"/>
    <hyperlink ref="F79" r:id="rId73" xr:uid="{6C86DE10-E5FD-4B78-8F8E-5D14B9569382}"/>
    <hyperlink ref="F80" r:id="rId74" xr:uid="{7819A3B3-C795-4F9B-8FF2-55BBA04FF4A2}"/>
    <hyperlink ref="F83" r:id="rId75" xr:uid="{71B1E797-B215-4D07-840B-C8882B5AA4C4}"/>
    <hyperlink ref="F84" r:id="rId76" xr:uid="{EDAC209F-6DAF-42DA-8161-12C3B0D46D41}"/>
    <hyperlink ref="F85" r:id="rId77" xr:uid="{44B4B19A-D26D-4F36-98A5-1D6E8DCDE1DF}"/>
    <hyperlink ref="F86" r:id="rId78" xr:uid="{BF397791-0110-4DEC-A0A6-060035122A91}"/>
    <hyperlink ref="F87" r:id="rId79" xr:uid="{B6BDCC37-BCE0-4EF8-B8A1-BADF666DE911}"/>
    <hyperlink ref="F88" r:id="rId80" xr:uid="{6F1D83FE-5837-4315-ACA3-DE4ED489D550}"/>
    <hyperlink ref="F90" r:id="rId81" xr:uid="{F127B63C-9421-4C05-8175-BE74A4FC00C8}"/>
    <hyperlink ref="F91" r:id="rId82" xr:uid="{88AFAEF5-F9C0-46FC-B1E4-C278D926C82F}"/>
    <hyperlink ref="F93" r:id="rId83" xr:uid="{54270FCC-F01A-4A51-9449-1D9B1F0A42A0}"/>
    <hyperlink ref="F94" r:id="rId84" xr:uid="{E9AE3B6B-EE81-4955-A668-4153B63437B2}"/>
    <hyperlink ref="F95" r:id="rId85" xr:uid="{83E718F3-27D2-469F-B45F-22864765D7BE}"/>
    <hyperlink ref="F98" r:id="rId86" xr:uid="{F74D9E2C-AE39-4063-9F4B-0C55FD604000}"/>
    <hyperlink ref="F99" r:id="rId87" xr:uid="{824B719A-A0F8-411C-A594-DB9551AF0CE8}"/>
    <hyperlink ref="F100" r:id="rId88" xr:uid="{DAFDD41B-5527-4A9E-A184-52A91285A698}"/>
    <hyperlink ref="F101" r:id="rId89" xr:uid="{62623A7B-38F4-49AD-8C83-D2597A97B55B}"/>
    <hyperlink ref="F36" r:id="rId90" xr:uid="{A8AEACCD-DF27-4642-8963-88DB859A6C9E}"/>
    <hyperlink ref="F60" r:id="rId91" xr:uid="{E1E62AB8-A4D8-4770-AE5B-D4BE7164DC2D}"/>
    <hyperlink ref="F62" r:id="rId92" xr:uid="{8E9C6EE0-EC28-4EC8-AF01-98D3F16B7E5F}"/>
    <hyperlink ref="F72" r:id="rId93" xr:uid="{8707BF32-E9C7-4C98-9728-C8D136312B72}"/>
    <hyperlink ref="F81" r:id="rId94" xr:uid="{3FDA9D87-870D-40D9-A84A-114D725E526E}"/>
    <hyperlink ref="F82" r:id="rId95" xr:uid="{79B75827-1D6E-4E7C-AD27-7B71CF22A7BA}"/>
    <hyperlink ref="F89" r:id="rId96" xr:uid="{5AC5D4C5-9B6A-4A5E-9150-626F104E8088}"/>
    <hyperlink ref="F92" r:id="rId97" xr:uid="{A1DA8764-A8C9-4B91-A36D-F422221502BF}"/>
    <hyperlink ref="F96" r:id="rId98" xr:uid="{2E0848BD-C726-4FEA-B1CE-E5F8B7469749}"/>
    <hyperlink ref="F97" r:id="rId99" xr:uid="{816DB24B-FEA1-4CD5-ABC0-EF7AC12CFAC0}"/>
    <hyperlink ref="F102" r:id="rId100" xr:uid="{D5BE8395-734A-4C8D-AE6E-4B8B9CDB9882}"/>
  </hyperlinks>
  <pageMargins left="0.7" right="0.7" top="0.75" bottom="0.75" header="0.3" footer="0.3"/>
  <tableParts count="1">
    <tablePart r:id="rId10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AD25-5667-4D05-93D0-F3EAD8A1DB0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757B-9B2D-44D1-AB00-9030D71F14B6}">
  <dimension ref="B1:B6"/>
  <sheetViews>
    <sheetView workbookViewId="0">
      <selection activeCell="B31" sqref="B31"/>
    </sheetView>
  </sheetViews>
  <sheetFormatPr defaultRowHeight="15"/>
  <cols>
    <col min="2" max="2" width="43.5703125" customWidth="1"/>
  </cols>
  <sheetData>
    <row r="1" spans="2:2">
      <c r="B1" s="1" t="s">
        <v>654</v>
      </c>
    </row>
    <row r="2" spans="2:2" ht="19.5" customHeight="1">
      <c r="B2" s="2" t="s">
        <v>655</v>
      </c>
    </row>
    <row r="3" spans="2:2" ht="19.5" customHeight="1">
      <c r="B3" s="2" t="s">
        <v>295</v>
      </c>
    </row>
    <row r="4" spans="2:2" ht="19.5" customHeight="1">
      <c r="B4" s="2" t="s">
        <v>656</v>
      </c>
    </row>
    <row r="5" spans="2:2" ht="19.5" customHeight="1">
      <c r="B5" s="2" t="s">
        <v>300</v>
      </c>
    </row>
    <row r="6" spans="2:2" ht="19.5" customHeight="1">
      <c r="B6" s="2" t="s">
        <v>413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250fcd-8121-42a1-91f8-14d8abf345e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A54F2867AC613B44B2BDE9C46BFB5107" ma:contentTypeVersion="15" ma:contentTypeDescription="Tạo tài liệu mới." ma:contentTypeScope="" ma:versionID="190091b5823a96d58a718aadf07fa191">
  <xsd:schema xmlns:xsd="http://www.w3.org/2001/XMLSchema" xmlns:xs="http://www.w3.org/2001/XMLSchema" xmlns:p="http://schemas.microsoft.com/office/2006/metadata/properties" xmlns:ns2="4633775e-a32b-446c-99cb-3e77da4e3d20" xmlns:ns3="8d250fcd-8121-42a1-91f8-14d8abf345ee" targetNamespace="http://schemas.microsoft.com/office/2006/metadata/properties" ma:root="true" ma:fieldsID="0fd8e29691b0d20381a7e984c8e44daa" ns2:_="" ns3:_="">
    <xsd:import namespace="4633775e-a32b-446c-99cb-3e77da4e3d20"/>
    <xsd:import namespace="8d250fcd-8121-42a1-91f8-14d8abf345e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3775e-a32b-446c-99cb-3e77da4e3d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50fcd-8121-42a1-91f8-14d8abf34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90b45d64-ba74-4cd2-a366-a44db76233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864672-03C5-4DB8-9DE3-8C364C95863E}"/>
</file>

<file path=customXml/itemProps2.xml><?xml version="1.0" encoding="utf-8"?>
<ds:datastoreItem xmlns:ds="http://schemas.openxmlformats.org/officeDocument/2006/customXml" ds:itemID="{6E82CF33-0C2F-47FA-8DA3-06871F81F1E2}"/>
</file>

<file path=customXml/itemProps3.xml><?xml version="1.0" encoding="utf-8"?>
<ds:datastoreItem xmlns:ds="http://schemas.openxmlformats.org/officeDocument/2006/customXml" ds:itemID="{DCC86804-E087-4796-8281-A3887C9938F6}"/>
</file>

<file path=docMetadata/LabelInfo.xml><?xml version="1.0" encoding="utf-8"?>
<clbl:labelList xmlns:clbl="http://schemas.microsoft.com/office/2020/mipLabelMetadata">
  <clbl:label id="{b86a4f3d-5b63-4b24-9cdd-03b37384bd1e}" enabled="1" method="Standard" siteId="{af1f3753-3925-4e6f-949b-97c0073208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2025-12-11T06:44:42Z</dcterms:created>
  <dcterms:modified xsi:type="dcterms:W3CDTF">2026-01-21T10:21:46Z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0x010100A54F2867AC613B44B2BDE9C46BFB5107</vt:lpwstr>
  </property>
  <property fmtid="{D5CDD505-2E9C-101B-9397-08002B2CF9AE}" pid="3" name="MediaServiceImageTags">
    <vt:lpwstr/>
  </property>
</Properties>
</file>